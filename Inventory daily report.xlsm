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5. study at TUD\SoSe 25\6. VBA\"/>
    </mc:Choice>
  </mc:AlternateContent>
  <xr:revisionPtr revIDLastSave="0" documentId="13_ncr:1_{CE07A40F-F1BC-4DE5-B181-284B4D8CFA0F}" xr6:coauthVersionLast="47" xr6:coauthVersionMax="47" xr10:uidLastSave="{00000000-0000-0000-0000-000000000000}"/>
  <bookViews>
    <workbookView xWindow="-120" yWindow="-120" windowWidth="29040" windowHeight="15720" activeTab="3" xr2:uid="{2F8EE810-2819-4408-A133-9C888C37C0E6}"/>
  </bookViews>
  <sheets>
    <sheet name="WMS stock" sheetId="2" r:id="rId1"/>
    <sheet name="WMS trans" sheetId="1" r:id="rId2"/>
    <sheet name="Note" sheetId="4" r:id="rId3"/>
    <sheet name="Report_template" sheetId="3" r:id="rId4"/>
  </sheets>
  <definedNames>
    <definedName name="_xlnm._FilterDatabase" localSheetId="0" hidden="1">'WMS stock'!$A$1:$AB$72</definedName>
    <definedName name="_xlnm._FilterDatabase" localSheetId="1" hidden="1">'WMS trans'!$A$1:$F$57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3" l="1"/>
  <c r="V12" i="2"/>
  <c r="AB12" i="2" s="1"/>
  <c r="U12" i="2"/>
  <c r="AA12" i="2" s="1"/>
  <c r="T12" i="2"/>
  <c r="Z12" i="2" s="1"/>
  <c r="S12" i="2"/>
  <c r="Y12" i="2" s="1"/>
  <c r="R12" i="2"/>
  <c r="X12" i="2" s="1"/>
  <c r="Q12" i="2"/>
  <c r="W12" i="2" s="1"/>
  <c r="V6" i="2"/>
  <c r="AB6" i="2" s="1"/>
  <c r="U6" i="2"/>
  <c r="AA6" i="2" s="1"/>
  <c r="T6" i="2"/>
  <c r="Z6" i="2" s="1"/>
  <c r="S6" i="2"/>
  <c r="Y6" i="2" s="1"/>
  <c r="R6" i="2"/>
  <c r="X6" i="2" s="1"/>
  <c r="Q6" i="2"/>
  <c r="W6" i="2" s="1"/>
  <c r="V72" i="2"/>
  <c r="AB72" i="2" s="1"/>
  <c r="U72" i="2"/>
  <c r="AA72" i="2" s="1"/>
  <c r="T72" i="2"/>
  <c r="Z72" i="2" s="1"/>
  <c r="S72" i="2"/>
  <c r="Y72" i="2" s="1"/>
  <c r="R72" i="2"/>
  <c r="X72" i="2" s="1"/>
  <c r="Q72" i="2"/>
  <c r="W72" i="2" s="1"/>
  <c r="V71" i="2"/>
  <c r="AB71" i="2" s="1"/>
  <c r="U71" i="2"/>
  <c r="AA71" i="2" s="1"/>
  <c r="T71" i="2"/>
  <c r="Z71" i="2" s="1"/>
  <c r="S71" i="2"/>
  <c r="Y71" i="2" s="1"/>
  <c r="R71" i="2"/>
  <c r="X71" i="2" s="1"/>
  <c r="Q71" i="2"/>
  <c r="W71" i="2" s="1"/>
  <c r="W70" i="2"/>
  <c r="V70" i="2"/>
  <c r="AB70" i="2" s="1"/>
  <c r="U70" i="2"/>
  <c r="AA70" i="2" s="1"/>
  <c r="T70" i="2"/>
  <c r="Z70" i="2" s="1"/>
  <c r="S70" i="2"/>
  <c r="Y70" i="2" s="1"/>
  <c r="R70" i="2"/>
  <c r="X70" i="2" s="1"/>
  <c r="Q70" i="2"/>
  <c r="V69" i="2"/>
  <c r="AB69" i="2" s="1"/>
  <c r="U69" i="2"/>
  <c r="AA69" i="2" s="1"/>
  <c r="T69" i="2"/>
  <c r="Z69" i="2" s="1"/>
  <c r="S69" i="2"/>
  <c r="Y69" i="2" s="1"/>
  <c r="R69" i="2"/>
  <c r="X69" i="2" s="1"/>
  <c r="Q69" i="2"/>
  <c r="W69" i="2" s="1"/>
  <c r="V11" i="2"/>
  <c r="AB11" i="2" s="1"/>
  <c r="U11" i="2"/>
  <c r="AA11" i="2" s="1"/>
  <c r="T11" i="2"/>
  <c r="Z11" i="2" s="1"/>
  <c r="S11" i="2"/>
  <c r="Y11" i="2" s="1"/>
  <c r="R11" i="2"/>
  <c r="X11" i="2" s="1"/>
  <c r="Q11" i="2"/>
  <c r="W11" i="2" s="1"/>
  <c r="V5" i="2"/>
  <c r="AB5" i="2" s="1"/>
  <c r="U5" i="2"/>
  <c r="AA5" i="2" s="1"/>
  <c r="T5" i="2"/>
  <c r="Z5" i="2" s="1"/>
  <c r="S5" i="2"/>
  <c r="Y5" i="2" s="1"/>
  <c r="R5" i="2"/>
  <c r="X5" i="2" s="1"/>
  <c r="Q5" i="2"/>
  <c r="W5" i="2" s="1"/>
  <c r="V68" i="2"/>
  <c r="AB68" i="2" s="1"/>
  <c r="U68" i="2"/>
  <c r="AA68" i="2" s="1"/>
  <c r="T68" i="2"/>
  <c r="Z68" i="2" s="1"/>
  <c r="S68" i="2"/>
  <c r="Y68" i="2" s="1"/>
  <c r="R68" i="2"/>
  <c r="X68" i="2" s="1"/>
  <c r="Q68" i="2"/>
  <c r="W68" i="2" s="1"/>
  <c r="V67" i="2"/>
  <c r="AB67" i="2" s="1"/>
  <c r="U67" i="2"/>
  <c r="AA67" i="2" s="1"/>
  <c r="T67" i="2"/>
  <c r="Z67" i="2" s="1"/>
  <c r="S67" i="2"/>
  <c r="Y67" i="2" s="1"/>
  <c r="R67" i="2"/>
  <c r="X67" i="2" s="1"/>
  <c r="Q67" i="2"/>
  <c r="W67" i="2" s="1"/>
  <c r="V66" i="2"/>
  <c r="AB66" i="2" s="1"/>
  <c r="U66" i="2"/>
  <c r="AA66" i="2" s="1"/>
  <c r="T66" i="2"/>
  <c r="Z66" i="2" s="1"/>
  <c r="S66" i="2"/>
  <c r="Y66" i="2" s="1"/>
  <c r="R66" i="2"/>
  <c r="X66" i="2" s="1"/>
  <c r="Q66" i="2"/>
  <c r="W66" i="2" s="1"/>
  <c r="V65" i="2"/>
  <c r="AB65" i="2" s="1"/>
  <c r="U65" i="2"/>
  <c r="AA65" i="2" s="1"/>
  <c r="T65" i="2"/>
  <c r="Z65" i="2" s="1"/>
  <c r="S65" i="2"/>
  <c r="Y65" i="2" s="1"/>
  <c r="R65" i="2"/>
  <c r="X65" i="2" s="1"/>
  <c r="Q65" i="2"/>
  <c r="W65" i="2" s="1"/>
  <c r="V64" i="2"/>
  <c r="AB64" i="2" s="1"/>
  <c r="U64" i="2"/>
  <c r="AA64" i="2" s="1"/>
  <c r="T64" i="2"/>
  <c r="Z64" i="2" s="1"/>
  <c r="S64" i="2"/>
  <c r="Y64" i="2" s="1"/>
  <c r="R64" i="2"/>
  <c r="X64" i="2" s="1"/>
  <c r="Q64" i="2"/>
  <c r="W64" i="2" s="1"/>
  <c r="V18" i="2"/>
  <c r="AB18" i="2" s="1"/>
  <c r="U18" i="2"/>
  <c r="AA18" i="2" s="1"/>
  <c r="T18" i="2"/>
  <c r="Z18" i="2" s="1"/>
  <c r="S18" i="2"/>
  <c r="Y18" i="2" s="1"/>
  <c r="R18" i="2"/>
  <c r="X18" i="2" s="1"/>
  <c r="Q18" i="2"/>
  <c r="W18" i="2" s="1"/>
  <c r="V15" i="2"/>
  <c r="AB15" i="2" s="1"/>
  <c r="U15" i="2"/>
  <c r="AA15" i="2" s="1"/>
  <c r="T15" i="2"/>
  <c r="Z15" i="2" s="1"/>
  <c r="S15" i="2"/>
  <c r="Y15" i="2" s="1"/>
  <c r="R15" i="2"/>
  <c r="X15" i="2" s="1"/>
  <c r="Q15" i="2"/>
  <c r="W15" i="2" s="1"/>
  <c r="V24" i="2"/>
  <c r="AB24" i="2" s="1"/>
  <c r="U24" i="2"/>
  <c r="AA24" i="2" s="1"/>
  <c r="T24" i="2"/>
  <c r="Z24" i="2" s="1"/>
  <c r="S24" i="2"/>
  <c r="Y24" i="2" s="1"/>
  <c r="R24" i="2"/>
  <c r="X24" i="2" s="1"/>
  <c r="Q24" i="2"/>
  <c r="W24" i="2" s="1"/>
  <c r="V21" i="2"/>
  <c r="AB21" i="2" s="1"/>
  <c r="U21" i="2"/>
  <c r="AA21" i="2" s="1"/>
  <c r="T21" i="2"/>
  <c r="Z21" i="2" s="1"/>
  <c r="S21" i="2"/>
  <c r="Y21" i="2" s="1"/>
  <c r="R21" i="2"/>
  <c r="X21" i="2" s="1"/>
  <c r="Q21" i="2"/>
  <c r="W21" i="2" s="1"/>
  <c r="AB34" i="2"/>
  <c r="V34" i="2"/>
  <c r="U34" i="2"/>
  <c r="AA34" i="2" s="1"/>
  <c r="T34" i="2"/>
  <c r="Z34" i="2" s="1"/>
  <c r="S34" i="2"/>
  <c r="Y34" i="2" s="1"/>
  <c r="R34" i="2"/>
  <c r="X34" i="2" s="1"/>
  <c r="Q34" i="2"/>
  <c r="W34" i="2" s="1"/>
  <c r="V30" i="2"/>
  <c r="AB30" i="2" s="1"/>
  <c r="U30" i="2"/>
  <c r="AA30" i="2" s="1"/>
  <c r="T30" i="2"/>
  <c r="Z30" i="2" s="1"/>
  <c r="S30" i="2"/>
  <c r="Y30" i="2" s="1"/>
  <c r="R30" i="2"/>
  <c r="X30" i="2" s="1"/>
  <c r="Q30" i="2"/>
  <c r="W30" i="2" s="1"/>
  <c r="V27" i="2"/>
  <c r="AB27" i="2" s="1"/>
  <c r="U27" i="2"/>
  <c r="AA27" i="2" s="1"/>
  <c r="T27" i="2"/>
  <c r="Z27" i="2" s="1"/>
  <c r="S27" i="2"/>
  <c r="Y27" i="2" s="1"/>
  <c r="R27" i="2"/>
  <c r="X27" i="2" s="1"/>
  <c r="Q27" i="2"/>
  <c r="W27" i="2" s="1"/>
  <c r="V44" i="2"/>
  <c r="AB44" i="2" s="1"/>
  <c r="U44" i="2"/>
  <c r="AA44" i="2" s="1"/>
  <c r="T44" i="2"/>
  <c r="Z44" i="2" s="1"/>
  <c r="S44" i="2"/>
  <c r="Y44" i="2" s="1"/>
  <c r="R44" i="2"/>
  <c r="X44" i="2" s="1"/>
  <c r="Q44" i="2"/>
  <c r="W44" i="2" s="1"/>
  <c r="V47" i="2"/>
  <c r="AB47" i="2" s="1"/>
  <c r="U47" i="2"/>
  <c r="AA47" i="2" s="1"/>
  <c r="T47" i="2"/>
  <c r="Z47" i="2" s="1"/>
  <c r="S47" i="2"/>
  <c r="Y47" i="2" s="1"/>
  <c r="R47" i="2"/>
  <c r="X47" i="2" s="1"/>
  <c r="Q47" i="2"/>
  <c r="W47" i="2" s="1"/>
  <c r="Z38" i="2"/>
  <c r="V38" i="2"/>
  <c r="AB38" i="2" s="1"/>
  <c r="U38" i="2"/>
  <c r="AA38" i="2" s="1"/>
  <c r="T38" i="2"/>
  <c r="S38" i="2"/>
  <c r="Y38" i="2" s="1"/>
  <c r="R38" i="2"/>
  <c r="X38" i="2" s="1"/>
  <c r="Q38" i="2"/>
  <c r="W38" i="2" s="1"/>
  <c r="V41" i="2"/>
  <c r="AB41" i="2" s="1"/>
  <c r="U41" i="2"/>
  <c r="AA41" i="2" s="1"/>
  <c r="T41" i="2"/>
  <c r="Z41" i="2" s="1"/>
  <c r="S41" i="2"/>
  <c r="Y41" i="2" s="1"/>
  <c r="R41" i="2"/>
  <c r="X41" i="2" s="1"/>
  <c r="Q41" i="2"/>
  <c r="W41" i="2" s="1"/>
  <c r="W10" i="2"/>
  <c r="V10" i="2"/>
  <c r="AB10" i="2" s="1"/>
  <c r="U10" i="2"/>
  <c r="AA10" i="2" s="1"/>
  <c r="T10" i="2"/>
  <c r="Z10" i="2" s="1"/>
  <c r="S10" i="2"/>
  <c r="Y10" i="2" s="1"/>
  <c r="R10" i="2"/>
  <c r="X10" i="2" s="1"/>
  <c r="Q10" i="2"/>
  <c r="V4" i="2"/>
  <c r="AB4" i="2" s="1"/>
  <c r="U4" i="2"/>
  <c r="AA4" i="2" s="1"/>
  <c r="T4" i="2"/>
  <c r="Z4" i="2" s="1"/>
  <c r="S4" i="2"/>
  <c r="Y4" i="2" s="1"/>
  <c r="R4" i="2"/>
  <c r="X4" i="2" s="1"/>
  <c r="Q4" i="2"/>
  <c r="W4" i="2" s="1"/>
  <c r="V63" i="2"/>
  <c r="AB63" i="2" s="1"/>
  <c r="U63" i="2"/>
  <c r="AA63" i="2" s="1"/>
  <c r="T63" i="2"/>
  <c r="Z63" i="2" s="1"/>
  <c r="S63" i="2"/>
  <c r="Y63" i="2" s="1"/>
  <c r="R63" i="2"/>
  <c r="X63" i="2" s="1"/>
  <c r="Q63" i="2"/>
  <c r="W63" i="2" s="1"/>
  <c r="V62" i="2"/>
  <c r="AB62" i="2" s="1"/>
  <c r="U62" i="2"/>
  <c r="AA62" i="2" s="1"/>
  <c r="T62" i="2"/>
  <c r="Z62" i="2" s="1"/>
  <c r="S62" i="2"/>
  <c r="Y62" i="2" s="1"/>
  <c r="R62" i="2"/>
  <c r="X62" i="2" s="1"/>
  <c r="Q62" i="2"/>
  <c r="W62" i="2" s="1"/>
  <c r="V61" i="2"/>
  <c r="AB61" i="2" s="1"/>
  <c r="U61" i="2"/>
  <c r="AA61" i="2" s="1"/>
  <c r="T61" i="2"/>
  <c r="Z61" i="2" s="1"/>
  <c r="S61" i="2"/>
  <c r="Y61" i="2" s="1"/>
  <c r="R61" i="2"/>
  <c r="X61" i="2" s="1"/>
  <c r="Q61" i="2"/>
  <c r="W61" i="2" s="1"/>
  <c r="V60" i="2"/>
  <c r="AB60" i="2" s="1"/>
  <c r="U60" i="2"/>
  <c r="AA60" i="2" s="1"/>
  <c r="T60" i="2"/>
  <c r="Z60" i="2" s="1"/>
  <c r="S60" i="2"/>
  <c r="Y60" i="2" s="1"/>
  <c r="R60" i="2"/>
  <c r="X60" i="2" s="1"/>
  <c r="Q60" i="2"/>
  <c r="W60" i="2" s="1"/>
  <c r="V9" i="2"/>
  <c r="AB9" i="2" s="1"/>
  <c r="U9" i="2"/>
  <c r="AA9" i="2" s="1"/>
  <c r="T9" i="2"/>
  <c r="Z9" i="2" s="1"/>
  <c r="S9" i="2"/>
  <c r="Y9" i="2" s="1"/>
  <c r="R9" i="2"/>
  <c r="X9" i="2" s="1"/>
  <c r="Q9" i="2"/>
  <c r="W9" i="2" s="1"/>
  <c r="V3" i="2"/>
  <c r="AB3" i="2" s="1"/>
  <c r="U3" i="2"/>
  <c r="AA3" i="2" s="1"/>
  <c r="T3" i="2"/>
  <c r="Z3" i="2" s="1"/>
  <c r="S3" i="2"/>
  <c r="Y3" i="2" s="1"/>
  <c r="R3" i="2"/>
  <c r="X3" i="2" s="1"/>
  <c r="Q3" i="2"/>
  <c r="W3" i="2" s="1"/>
  <c r="V59" i="2"/>
  <c r="AB59" i="2" s="1"/>
  <c r="U59" i="2"/>
  <c r="AA59" i="2" s="1"/>
  <c r="T59" i="2"/>
  <c r="Z59" i="2" s="1"/>
  <c r="S59" i="2"/>
  <c r="Y59" i="2" s="1"/>
  <c r="R59" i="2"/>
  <c r="X59" i="2" s="1"/>
  <c r="Q59" i="2"/>
  <c r="W59" i="2" s="1"/>
  <c r="V58" i="2"/>
  <c r="AB58" i="2" s="1"/>
  <c r="U58" i="2"/>
  <c r="AA58" i="2" s="1"/>
  <c r="T58" i="2"/>
  <c r="Z58" i="2" s="1"/>
  <c r="S58" i="2"/>
  <c r="Y58" i="2" s="1"/>
  <c r="R58" i="2"/>
  <c r="X58" i="2" s="1"/>
  <c r="Q58" i="2"/>
  <c r="W58" i="2" s="1"/>
  <c r="V57" i="2"/>
  <c r="AB57" i="2" s="1"/>
  <c r="U57" i="2"/>
  <c r="AA57" i="2" s="1"/>
  <c r="T57" i="2"/>
  <c r="Z57" i="2" s="1"/>
  <c r="S57" i="2"/>
  <c r="Y57" i="2" s="1"/>
  <c r="R57" i="2"/>
  <c r="X57" i="2" s="1"/>
  <c r="Q57" i="2"/>
  <c r="W57" i="2" s="1"/>
  <c r="V56" i="2"/>
  <c r="AB56" i="2" s="1"/>
  <c r="U56" i="2"/>
  <c r="AA56" i="2" s="1"/>
  <c r="T56" i="2"/>
  <c r="Z56" i="2" s="1"/>
  <c r="S56" i="2"/>
  <c r="Y56" i="2" s="1"/>
  <c r="R56" i="2"/>
  <c r="X56" i="2" s="1"/>
  <c r="Q56" i="2"/>
  <c r="W56" i="2" s="1"/>
  <c r="V55" i="2"/>
  <c r="AB55" i="2" s="1"/>
  <c r="U55" i="2"/>
  <c r="AA55" i="2" s="1"/>
  <c r="T55" i="2"/>
  <c r="Z55" i="2" s="1"/>
  <c r="S55" i="2"/>
  <c r="Y55" i="2" s="1"/>
  <c r="R55" i="2"/>
  <c r="X55" i="2" s="1"/>
  <c r="Q55" i="2"/>
  <c r="W55" i="2" s="1"/>
  <c r="V17" i="2"/>
  <c r="AB17" i="2" s="1"/>
  <c r="U17" i="2"/>
  <c r="AA17" i="2" s="1"/>
  <c r="T17" i="2"/>
  <c r="Z17" i="2" s="1"/>
  <c r="S17" i="2"/>
  <c r="Y17" i="2" s="1"/>
  <c r="R17" i="2"/>
  <c r="X17" i="2" s="1"/>
  <c r="Q17" i="2"/>
  <c r="W17" i="2" s="1"/>
  <c r="V14" i="2"/>
  <c r="AB14" i="2" s="1"/>
  <c r="U14" i="2"/>
  <c r="AA14" i="2" s="1"/>
  <c r="T14" i="2"/>
  <c r="Z14" i="2" s="1"/>
  <c r="S14" i="2"/>
  <c r="Y14" i="2" s="1"/>
  <c r="R14" i="2"/>
  <c r="X14" i="2" s="1"/>
  <c r="Q14" i="2"/>
  <c r="W14" i="2" s="1"/>
  <c r="V23" i="2"/>
  <c r="AB23" i="2" s="1"/>
  <c r="U23" i="2"/>
  <c r="AA23" i="2" s="1"/>
  <c r="T23" i="2"/>
  <c r="Z23" i="2" s="1"/>
  <c r="S23" i="2"/>
  <c r="Y23" i="2" s="1"/>
  <c r="R23" i="2"/>
  <c r="X23" i="2" s="1"/>
  <c r="Q23" i="2"/>
  <c r="W23" i="2" s="1"/>
  <c r="V20" i="2"/>
  <c r="AB20" i="2" s="1"/>
  <c r="U20" i="2"/>
  <c r="AA20" i="2" s="1"/>
  <c r="T20" i="2"/>
  <c r="Z20" i="2" s="1"/>
  <c r="S20" i="2"/>
  <c r="Y20" i="2" s="1"/>
  <c r="R20" i="2"/>
  <c r="X20" i="2" s="1"/>
  <c r="Q20" i="2"/>
  <c r="W20" i="2" s="1"/>
  <c r="V33" i="2"/>
  <c r="AB33" i="2" s="1"/>
  <c r="U33" i="2"/>
  <c r="AA33" i="2" s="1"/>
  <c r="T33" i="2"/>
  <c r="Z33" i="2" s="1"/>
  <c r="S33" i="2"/>
  <c r="Y33" i="2" s="1"/>
  <c r="R33" i="2"/>
  <c r="X33" i="2" s="1"/>
  <c r="Q33" i="2"/>
  <c r="W33" i="2" s="1"/>
  <c r="Z29" i="2"/>
  <c r="V29" i="2"/>
  <c r="AB29" i="2" s="1"/>
  <c r="U29" i="2"/>
  <c r="AA29" i="2" s="1"/>
  <c r="T29" i="2"/>
  <c r="S29" i="2"/>
  <c r="Y29" i="2" s="1"/>
  <c r="R29" i="2"/>
  <c r="X29" i="2" s="1"/>
  <c r="Q29" i="2"/>
  <c r="W29" i="2" s="1"/>
  <c r="V26" i="2"/>
  <c r="AB26" i="2" s="1"/>
  <c r="U26" i="2"/>
  <c r="AA26" i="2" s="1"/>
  <c r="T26" i="2"/>
  <c r="Z26" i="2" s="1"/>
  <c r="S26" i="2"/>
  <c r="Y26" i="2" s="1"/>
  <c r="R26" i="2"/>
  <c r="X26" i="2" s="1"/>
  <c r="Q26" i="2"/>
  <c r="W26" i="2" s="1"/>
  <c r="V43" i="2"/>
  <c r="AB43" i="2" s="1"/>
  <c r="U43" i="2"/>
  <c r="AA43" i="2" s="1"/>
  <c r="T43" i="2"/>
  <c r="Z43" i="2" s="1"/>
  <c r="S43" i="2"/>
  <c r="Y43" i="2" s="1"/>
  <c r="R43" i="2"/>
  <c r="X43" i="2" s="1"/>
  <c r="Q43" i="2"/>
  <c r="W43" i="2" s="1"/>
  <c r="V46" i="2"/>
  <c r="AB46" i="2" s="1"/>
  <c r="U46" i="2"/>
  <c r="AA46" i="2" s="1"/>
  <c r="T46" i="2"/>
  <c r="Z46" i="2" s="1"/>
  <c r="S46" i="2"/>
  <c r="Y46" i="2" s="1"/>
  <c r="R46" i="2"/>
  <c r="X46" i="2" s="1"/>
  <c r="Q46" i="2"/>
  <c r="W46" i="2" s="1"/>
  <c r="V37" i="2"/>
  <c r="AB37" i="2" s="1"/>
  <c r="U37" i="2"/>
  <c r="AA37" i="2" s="1"/>
  <c r="T37" i="2"/>
  <c r="Z37" i="2" s="1"/>
  <c r="S37" i="2"/>
  <c r="Y37" i="2" s="1"/>
  <c r="R37" i="2"/>
  <c r="X37" i="2" s="1"/>
  <c r="Q37" i="2"/>
  <c r="W37" i="2" s="1"/>
  <c r="V40" i="2"/>
  <c r="AB40" i="2" s="1"/>
  <c r="U40" i="2"/>
  <c r="AA40" i="2" s="1"/>
  <c r="T40" i="2"/>
  <c r="Z40" i="2" s="1"/>
  <c r="S40" i="2"/>
  <c r="Y40" i="2" s="1"/>
  <c r="R40" i="2"/>
  <c r="X40" i="2" s="1"/>
  <c r="Q40" i="2"/>
  <c r="W40" i="2" s="1"/>
  <c r="V8" i="2"/>
  <c r="AB8" i="2" s="1"/>
  <c r="U8" i="2"/>
  <c r="AA8" i="2" s="1"/>
  <c r="T8" i="2"/>
  <c r="Z8" i="2" s="1"/>
  <c r="S8" i="2"/>
  <c r="Y8" i="2" s="1"/>
  <c r="R8" i="2"/>
  <c r="X8" i="2" s="1"/>
  <c r="Q8" i="2"/>
  <c r="W8" i="2" s="1"/>
  <c r="V54" i="2"/>
  <c r="AB54" i="2" s="1"/>
  <c r="U54" i="2"/>
  <c r="AA54" i="2" s="1"/>
  <c r="T54" i="2"/>
  <c r="Z54" i="2" s="1"/>
  <c r="S54" i="2"/>
  <c r="Y54" i="2" s="1"/>
  <c r="R54" i="2"/>
  <c r="X54" i="2" s="1"/>
  <c r="Q54" i="2"/>
  <c r="W54" i="2" s="1"/>
  <c r="V53" i="2"/>
  <c r="AB53" i="2" s="1"/>
  <c r="U53" i="2"/>
  <c r="AA53" i="2" s="1"/>
  <c r="T53" i="2"/>
  <c r="Z53" i="2" s="1"/>
  <c r="S53" i="2"/>
  <c r="Y53" i="2" s="1"/>
  <c r="R53" i="2"/>
  <c r="X53" i="2" s="1"/>
  <c r="Q53" i="2"/>
  <c r="W53" i="2" s="1"/>
  <c r="V32" i="2"/>
  <c r="AB32" i="2" s="1"/>
  <c r="U32" i="2"/>
  <c r="AA32" i="2" s="1"/>
  <c r="T32" i="2"/>
  <c r="Z32" i="2" s="1"/>
  <c r="S32" i="2"/>
  <c r="Y32" i="2" s="1"/>
  <c r="R32" i="2"/>
  <c r="X32" i="2" s="1"/>
  <c r="Q32" i="2"/>
  <c r="W32" i="2" s="1"/>
  <c r="V36" i="2"/>
  <c r="AB36" i="2" s="1"/>
  <c r="U36" i="2"/>
  <c r="AA36" i="2" s="1"/>
  <c r="T36" i="2"/>
  <c r="Z36" i="2" s="1"/>
  <c r="S36" i="2"/>
  <c r="Y36" i="2" s="1"/>
  <c r="R36" i="2"/>
  <c r="X36" i="2" s="1"/>
  <c r="Q36" i="2"/>
  <c r="W36" i="2" s="1"/>
  <c r="V7" i="2"/>
  <c r="AB7" i="2" s="1"/>
  <c r="U7" i="2"/>
  <c r="AA7" i="2" s="1"/>
  <c r="T7" i="2"/>
  <c r="Z7" i="2" s="1"/>
  <c r="S7" i="2"/>
  <c r="Y7" i="2" s="1"/>
  <c r="R7" i="2"/>
  <c r="X7" i="2" s="1"/>
  <c r="Q7" i="2"/>
  <c r="W7" i="2" s="1"/>
  <c r="V2" i="2"/>
  <c r="AB2" i="2" s="1"/>
  <c r="U2" i="2"/>
  <c r="AA2" i="2" s="1"/>
  <c r="T2" i="2"/>
  <c r="Z2" i="2" s="1"/>
  <c r="S2" i="2"/>
  <c r="Y2" i="2" s="1"/>
  <c r="R2" i="2"/>
  <c r="X2" i="2" s="1"/>
  <c r="Q2" i="2"/>
  <c r="W2" i="2" s="1"/>
  <c r="V52" i="2"/>
  <c r="AB52" i="2" s="1"/>
  <c r="U52" i="2"/>
  <c r="AA52" i="2" s="1"/>
  <c r="T52" i="2"/>
  <c r="Z52" i="2" s="1"/>
  <c r="S52" i="2"/>
  <c r="Y52" i="2" s="1"/>
  <c r="R52" i="2"/>
  <c r="X52" i="2" s="1"/>
  <c r="Q52" i="2"/>
  <c r="W52" i="2" s="1"/>
  <c r="V51" i="2"/>
  <c r="AB51" i="2" s="1"/>
  <c r="U51" i="2"/>
  <c r="AA51" i="2" s="1"/>
  <c r="T51" i="2"/>
  <c r="Z51" i="2" s="1"/>
  <c r="S51" i="2"/>
  <c r="Y51" i="2" s="1"/>
  <c r="R51" i="2"/>
  <c r="X51" i="2" s="1"/>
  <c r="Q51" i="2"/>
  <c r="W51" i="2" s="1"/>
  <c r="W50" i="2"/>
  <c r="V50" i="2"/>
  <c r="AB50" i="2" s="1"/>
  <c r="U50" i="2"/>
  <c r="AA50" i="2" s="1"/>
  <c r="T50" i="2"/>
  <c r="Z50" i="2" s="1"/>
  <c r="S50" i="2"/>
  <c r="Y50" i="2" s="1"/>
  <c r="R50" i="2"/>
  <c r="X50" i="2" s="1"/>
  <c r="Q50" i="2"/>
  <c r="V49" i="2"/>
  <c r="AB49" i="2" s="1"/>
  <c r="U49" i="2"/>
  <c r="AA49" i="2" s="1"/>
  <c r="T49" i="2"/>
  <c r="Z49" i="2" s="1"/>
  <c r="S49" i="2"/>
  <c r="Y49" i="2" s="1"/>
  <c r="R49" i="2"/>
  <c r="X49" i="2" s="1"/>
  <c r="Q49" i="2"/>
  <c r="W49" i="2" s="1"/>
  <c r="V48" i="2"/>
  <c r="AB48" i="2" s="1"/>
  <c r="U48" i="2"/>
  <c r="AA48" i="2" s="1"/>
  <c r="T48" i="2"/>
  <c r="Z48" i="2" s="1"/>
  <c r="S48" i="2"/>
  <c r="Y48" i="2" s="1"/>
  <c r="R48" i="2"/>
  <c r="X48" i="2" s="1"/>
  <c r="Q48" i="2"/>
  <c r="W48" i="2" s="1"/>
  <c r="V16" i="2"/>
  <c r="AB16" i="2" s="1"/>
  <c r="U16" i="2"/>
  <c r="AA16" i="2" s="1"/>
  <c r="T16" i="2"/>
  <c r="Z16" i="2" s="1"/>
  <c r="S16" i="2"/>
  <c r="Y16" i="2" s="1"/>
  <c r="R16" i="2"/>
  <c r="X16" i="2" s="1"/>
  <c r="Q16" i="2"/>
  <c r="W16" i="2" s="1"/>
  <c r="V13" i="2"/>
  <c r="AB13" i="2" s="1"/>
  <c r="U13" i="2"/>
  <c r="AA13" i="2" s="1"/>
  <c r="T13" i="2"/>
  <c r="Z13" i="2" s="1"/>
  <c r="S13" i="2"/>
  <c r="Y13" i="2" s="1"/>
  <c r="R13" i="2"/>
  <c r="X13" i="2" s="1"/>
  <c r="Q13" i="2"/>
  <c r="W13" i="2" s="1"/>
  <c r="V22" i="2"/>
  <c r="AB22" i="2" s="1"/>
  <c r="U22" i="2"/>
  <c r="AA22" i="2" s="1"/>
  <c r="T22" i="2"/>
  <c r="Z22" i="2" s="1"/>
  <c r="S22" i="2"/>
  <c r="Y22" i="2" s="1"/>
  <c r="R22" i="2"/>
  <c r="X22" i="2" s="1"/>
  <c r="Q22" i="2"/>
  <c r="W22" i="2" s="1"/>
  <c r="V19" i="2"/>
  <c r="AB19" i="2" s="1"/>
  <c r="U19" i="2"/>
  <c r="AA19" i="2" s="1"/>
  <c r="T19" i="2"/>
  <c r="Z19" i="2" s="1"/>
  <c r="S19" i="2"/>
  <c r="Y19" i="2" s="1"/>
  <c r="R19" i="2"/>
  <c r="X19" i="2" s="1"/>
  <c r="Q19" i="2"/>
  <c r="W19" i="2" s="1"/>
  <c r="V31" i="2"/>
  <c r="AB31" i="2" s="1"/>
  <c r="U31" i="2"/>
  <c r="AA31" i="2" s="1"/>
  <c r="T31" i="2"/>
  <c r="Z31" i="2" s="1"/>
  <c r="S31" i="2"/>
  <c r="Y31" i="2" s="1"/>
  <c r="R31" i="2"/>
  <c r="X31" i="2" s="1"/>
  <c r="Q31" i="2"/>
  <c r="W31" i="2" s="1"/>
  <c r="V28" i="2"/>
  <c r="AB28" i="2" s="1"/>
  <c r="U28" i="2"/>
  <c r="AA28" i="2" s="1"/>
  <c r="T28" i="2"/>
  <c r="Z28" i="2" s="1"/>
  <c r="S28" i="2"/>
  <c r="Y28" i="2" s="1"/>
  <c r="R28" i="2"/>
  <c r="X28" i="2" s="1"/>
  <c r="Q28" i="2"/>
  <c r="W28" i="2" s="1"/>
  <c r="V25" i="2"/>
  <c r="AB25" i="2" s="1"/>
  <c r="U25" i="2"/>
  <c r="AA25" i="2" s="1"/>
  <c r="T25" i="2"/>
  <c r="Z25" i="2" s="1"/>
  <c r="S25" i="2"/>
  <c r="Y25" i="2" s="1"/>
  <c r="R25" i="2"/>
  <c r="X25" i="2" s="1"/>
  <c r="Q25" i="2"/>
  <c r="W25" i="2" s="1"/>
  <c r="V42" i="2"/>
  <c r="AB42" i="2" s="1"/>
  <c r="U42" i="2"/>
  <c r="AA42" i="2" s="1"/>
  <c r="T42" i="2"/>
  <c r="Z42" i="2" s="1"/>
  <c r="S42" i="2"/>
  <c r="Y42" i="2" s="1"/>
  <c r="R42" i="2"/>
  <c r="X42" i="2" s="1"/>
  <c r="Q42" i="2"/>
  <c r="W42" i="2" s="1"/>
  <c r="V45" i="2"/>
  <c r="AB45" i="2" s="1"/>
  <c r="U45" i="2"/>
  <c r="AA45" i="2" s="1"/>
  <c r="T45" i="2"/>
  <c r="Z45" i="2" s="1"/>
  <c r="S45" i="2"/>
  <c r="Y45" i="2" s="1"/>
  <c r="R45" i="2"/>
  <c r="X45" i="2" s="1"/>
  <c r="Q45" i="2"/>
  <c r="W45" i="2" s="1"/>
  <c r="V35" i="2"/>
  <c r="AB35" i="2" s="1"/>
  <c r="U35" i="2"/>
  <c r="AA35" i="2" s="1"/>
  <c r="T35" i="2"/>
  <c r="Z35" i="2" s="1"/>
  <c r="S35" i="2"/>
  <c r="Y35" i="2" s="1"/>
  <c r="R35" i="2"/>
  <c r="X35" i="2" s="1"/>
  <c r="Q35" i="2"/>
  <c r="W35" i="2" s="1"/>
  <c r="V39" i="2"/>
  <c r="AB39" i="2" s="1"/>
  <c r="U39" i="2"/>
  <c r="AA39" i="2" s="1"/>
  <c r="T39" i="2"/>
  <c r="Z39" i="2" s="1"/>
  <c r="S39" i="2"/>
  <c r="Y39" i="2" s="1"/>
  <c r="R39" i="2"/>
  <c r="X39" i="2" s="1"/>
  <c r="Q39" i="2"/>
  <c r="W39" i="2" s="1"/>
  <c r="H12" i="2"/>
  <c r="H6" i="2"/>
  <c r="H72" i="2"/>
  <c r="H71" i="2"/>
  <c r="H70" i="2"/>
  <c r="H69" i="2"/>
  <c r="H11" i="2"/>
  <c r="H5" i="2"/>
  <c r="H68" i="2"/>
  <c r="H67" i="2"/>
  <c r="H66" i="2"/>
  <c r="H65" i="2"/>
  <c r="H64" i="2"/>
  <c r="H18" i="2"/>
  <c r="H15" i="2"/>
  <c r="H24" i="2"/>
  <c r="H21" i="2"/>
  <c r="H34" i="2"/>
  <c r="H30" i="2"/>
  <c r="H27" i="2"/>
  <c r="H44" i="2"/>
  <c r="H47" i="2"/>
  <c r="H38" i="2"/>
  <c r="H41" i="2"/>
  <c r="H10" i="2"/>
  <c r="H4" i="2"/>
  <c r="H63" i="2"/>
  <c r="H62" i="2"/>
  <c r="H61" i="2"/>
  <c r="H60" i="2"/>
  <c r="H9" i="2"/>
  <c r="H3" i="2"/>
  <c r="H59" i="2"/>
  <c r="H58" i="2"/>
  <c r="H57" i="2"/>
  <c r="H56" i="2"/>
  <c r="H55" i="2"/>
  <c r="H17" i="2"/>
  <c r="H14" i="2"/>
  <c r="H23" i="2"/>
  <c r="H20" i="2"/>
  <c r="H33" i="2"/>
  <c r="H29" i="2"/>
  <c r="H26" i="2"/>
  <c r="H43" i="2"/>
  <c r="H46" i="2"/>
  <c r="H37" i="2"/>
  <c r="H40" i="2"/>
  <c r="H8" i="2"/>
  <c r="H54" i="2"/>
  <c r="H53" i="2"/>
  <c r="H32" i="2"/>
  <c r="H36" i="2"/>
  <c r="H7" i="2"/>
  <c r="H2" i="2"/>
  <c r="H52" i="2"/>
  <c r="H51" i="2"/>
  <c r="H50" i="2"/>
  <c r="H49" i="2"/>
  <c r="H48" i="2"/>
  <c r="H16" i="2"/>
  <c r="H13" i="2"/>
  <c r="H22" i="2"/>
  <c r="H19" i="2"/>
  <c r="H31" i="2"/>
  <c r="H28" i="2"/>
  <c r="H25" i="2"/>
  <c r="H42" i="2"/>
  <c r="H45" i="2"/>
  <c r="H35" i="2"/>
  <c r="H39" i="2"/>
</calcChain>
</file>

<file path=xl/sharedStrings.xml><?xml version="1.0" encoding="utf-8"?>
<sst xmlns="http://schemas.openxmlformats.org/spreadsheetml/2006/main" count="949" uniqueCount="163">
  <si>
    <t>Whse code</t>
  </si>
  <si>
    <t>SKU ID</t>
  </si>
  <si>
    <t>Base Unit</t>
  </si>
  <si>
    <t>HN01</t>
  </si>
  <si>
    <t>Packing Specification</t>
  </si>
  <si>
    <t>Pack</t>
  </si>
  <si>
    <t>Bottle</t>
  </si>
  <si>
    <t>Can</t>
  </si>
  <si>
    <t>Bag</t>
  </si>
  <si>
    <t>DTR-SURF-L012</t>
  </si>
  <si>
    <t>DTR-SURF-L014</t>
  </si>
  <si>
    <t>DTR-SURF-L015</t>
  </si>
  <si>
    <t>DTR-OMO-H30</t>
  </si>
  <si>
    <t>DTR-OMO-H34</t>
  </si>
  <si>
    <t>DTR-CF-H003</t>
  </si>
  <si>
    <t>DTR-CF-H023</t>
  </si>
  <si>
    <t>BSC-CC-200</t>
  </si>
  <si>
    <t>BSC-VN-100</t>
  </si>
  <si>
    <t>VEG-PEA-ORG-400</t>
  </si>
  <si>
    <t>SNK-PT-SPC-150</t>
  </si>
  <si>
    <t>SNK-PT-NSPC-150</t>
  </si>
  <si>
    <t>SNK-SR-SPC-150</t>
  </si>
  <si>
    <t>SNK-SR-NSPC-150</t>
  </si>
  <si>
    <t>12BTL/60CTN/PL</t>
  </si>
  <si>
    <t>24PK/100CTN/PL</t>
  </si>
  <si>
    <t>24CN/75CTN/PL</t>
  </si>
  <si>
    <t>30BG/80CCTN/PL</t>
  </si>
  <si>
    <t>ON_HAND</t>
  </si>
  <si>
    <t>ALLOCATED</t>
  </si>
  <si>
    <t>PICKED</t>
  </si>
  <si>
    <t>Meaning</t>
  </si>
  <si>
    <t>Physical quantity available in the warehouse and ready for allocation/picking</t>
  </si>
  <si>
    <t>Reserved for a sales order or outbound delivery, not available for other use</t>
  </si>
  <si>
    <t>Items have been picked from the shelf/bin but not yet shipped</t>
  </si>
  <si>
    <t>RECEIVED</t>
  </si>
  <si>
    <t>Goods have arrived at the warehouse but not yet put away or quality-checked</t>
  </si>
  <si>
    <t>PUTAWAY</t>
  </si>
  <si>
    <t>Received but not yet stored in a final location (still in staging/dock area)</t>
  </si>
  <si>
    <t>ON_HOLD</t>
  </si>
  <si>
    <t>Blocked due to quality issues, inspection, documentation delay, or manual hold</t>
  </si>
  <si>
    <t>ON_HAND_PCS</t>
  </si>
  <si>
    <t>ALLOCATED_PCS</t>
  </si>
  <si>
    <t>PICKED_PCS</t>
  </si>
  <si>
    <t>RECEIVED_PCS</t>
  </si>
  <si>
    <t>ON_HOLD_PCS</t>
  </si>
  <si>
    <t>ON_HAND_CTN</t>
  </si>
  <si>
    <t>ALLOCATED_CTN</t>
  </si>
  <si>
    <t>PICKED_CTN</t>
  </si>
  <si>
    <t>RECEIVED_CTN</t>
  </si>
  <si>
    <t>ON_HOLD_PLT</t>
  </si>
  <si>
    <t>ON_HOLD_CTN</t>
  </si>
  <si>
    <t>ON_HAND_PLT</t>
  </si>
  <si>
    <t>ALLOCATED_PLT</t>
  </si>
  <si>
    <t>PICKED_PLT</t>
  </si>
  <si>
    <t>RECEIVED_PLT</t>
  </si>
  <si>
    <t>PUTAWAY_PD_PCS</t>
  </si>
  <si>
    <t>PUTAWAY_PD_PLT</t>
  </si>
  <si>
    <t>PUTAWAY_PD_CTN</t>
  </si>
  <si>
    <t>PUTAWAY_PD</t>
  </si>
  <si>
    <t>LV_PCS</t>
  </si>
  <si>
    <t>LV_CTN</t>
  </si>
  <si>
    <t>LV_PLT</t>
  </si>
  <si>
    <t>COMPANY'S LOGO</t>
  </si>
  <si>
    <t>Company's Name, Address, Contact</t>
  </si>
  <si>
    <t>Date:</t>
  </si>
  <si>
    <t>SKU NAME</t>
  </si>
  <si>
    <t>Location</t>
  </si>
  <si>
    <t>Product Shelflife</t>
  </si>
  <si>
    <t>24 months</t>
  </si>
  <si>
    <t>30 months</t>
  </si>
  <si>
    <t>36 months</t>
  </si>
  <si>
    <t>Staging</t>
  </si>
  <si>
    <t>Qty_available_for_sales</t>
  </si>
  <si>
    <t>Qty_allocated</t>
  </si>
  <si>
    <t>Customer report's  goods status for ALLOCATED, PICKED</t>
  </si>
  <si>
    <t>Qty_on_hold</t>
  </si>
  <si>
    <t>Customer report's  goods status for ON_HAND, PUTAWAY_PD</t>
  </si>
  <si>
    <t>Customer report's  goods status for ON_HOLD, RECEIVED</t>
  </si>
  <si>
    <t>RECEIVING</t>
  </si>
  <si>
    <t>CHANGE_LOCATION</t>
  </si>
  <si>
    <t>ALLOCATE</t>
  </si>
  <si>
    <t>PICK</t>
  </si>
  <si>
    <t>SHIP</t>
  </si>
  <si>
    <t>CYCLE_COUNT</t>
  </si>
  <si>
    <t>Goods_status</t>
  </si>
  <si>
    <t>Transaction_type</t>
  </si>
  <si>
    <t>The process of accepting and checking goods into the warehouse from a supplier or source.</t>
  </si>
  <si>
    <t>Moving received goods from the receiving area to storage locations within the warehouse.</t>
  </si>
  <si>
    <t>Transferring goods from one storage location to another within the warehouse.</t>
  </si>
  <si>
    <t>Reserving stock for specific orders or processes, preventing it from being used elsewhere.</t>
  </si>
  <si>
    <t>Retrieving items from storage to fulfill a customer or internal order.</t>
  </si>
  <si>
    <t>Periodic counting of a subset of inventory to ensure accuracy without a full inventory.</t>
  </si>
  <si>
    <t>Preparing and dispatching goods out of the warehouse to a customer or destination, stock quantity reduced at this action.</t>
  </si>
  <si>
    <t>Qty_Inbound</t>
  </si>
  <si>
    <t>Qty_Outbound</t>
  </si>
  <si>
    <t>Qty_in_stock</t>
  </si>
  <si>
    <t>Qty_available</t>
  </si>
  <si>
    <t>Daily inventory report</t>
  </si>
  <si>
    <r>
      <rPr>
        <b/>
        <sz val="11"/>
        <color theme="1"/>
        <rFont val="Aptos Narrow"/>
        <family val="2"/>
        <scheme val="minor"/>
      </rPr>
      <t>Warehouse Code:</t>
    </r>
    <r>
      <rPr>
        <sz val="11"/>
        <color theme="1"/>
        <rFont val="Aptos Narrow"/>
        <family val="2"/>
        <scheme val="minor"/>
      </rPr>
      <t xml:space="preserve"> HN01</t>
    </r>
  </si>
  <si>
    <r>
      <rPr>
        <b/>
        <sz val="11"/>
        <color theme="1"/>
        <rFont val="Aptos Narrow"/>
        <family val="2"/>
        <scheme val="minor"/>
      </rPr>
      <t xml:space="preserve">Wahouse Name: </t>
    </r>
    <r>
      <rPr>
        <sz val="11"/>
        <color theme="1"/>
        <rFont val="Aptos Narrow"/>
        <family val="2"/>
        <scheme val="minor"/>
      </rPr>
      <t>Hanoi's Distribution Center</t>
    </r>
  </si>
  <si>
    <r>
      <rPr>
        <b/>
        <sz val="11"/>
        <color theme="1"/>
        <rFont val="Aptos Narrow"/>
        <family val="2"/>
        <scheme val="minor"/>
      </rPr>
      <t>Warehouse Adress:</t>
    </r>
    <r>
      <rPr>
        <sz val="11"/>
        <color theme="1"/>
        <rFont val="Aptos Narrow"/>
        <family val="2"/>
        <scheme val="minor"/>
      </rPr>
      <t xml:space="preserve"> Thuong Tin, Hanoi, Vietnam</t>
    </r>
  </si>
  <si>
    <t>HN01-L016-F02</t>
  </si>
  <si>
    <t>HN01-L016-F03</t>
  </si>
  <si>
    <t>HN01-L016-F07</t>
  </si>
  <si>
    <t>HN01-L01-F02-01</t>
  </si>
  <si>
    <t>HN01-L01-F03-01</t>
  </si>
  <si>
    <t>HN01-L01-F04-01</t>
  </si>
  <si>
    <t>HN01-L01-F05-01</t>
  </si>
  <si>
    <t>HN01-L02-F02-01</t>
  </si>
  <si>
    <t>HN01-L02-F02-02</t>
  </si>
  <si>
    <t>HN01-L02-F02-03</t>
  </si>
  <si>
    <t>HN01-L02-F03-01</t>
  </si>
  <si>
    <t>HN01-L02-F03-02</t>
  </si>
  <si>
    <t>HN01-L02-F03-03</t>
  </si>
  <si>
    <t>HN01-L02-F03-04</t>
  </si>
  <si>
    <t>HN01-L04-F03-01</t>
  </si>
  <si>
    <t>HN01-L04-F04-01</t>
  </si>
  <si>
    <t>HN01-L04-F05-01</t>
  </si>
  <si>
    <t>HN01-L05-F02-01</t>
  </si>
  <si>
    <t>HN01-L05-F03-01</t>
  </si>
  <si>
    <t>HN01-L05-F02-02</t>
  </si>
  <si>
    <t>HN01-L05-F03-02</t>
  </si>
  <si>
    <t>HN01-L05-F02-03</t>
  </si>
  <si>
    <t>HN01-L05-F03-03</t>
  </si>
  <si>
    <t>HN01-L05-F02-04</t>
  </si>
  <si>
    <t>HN01-L05-F03-04</t>
  </si>
  <si>
    <t>HN01-L05-F02-05</t>
  </si>
  <si>
    <t>HN01-L05-F03-05</t>
  </si>
  <si>
    <t>HN01-L05-F02-06</t>
  </si>
  <si>
    <t>HN01-L05-F03-06</t>
  </si>
  <si>
    <t>HN01-L05-F02-07</t>
  </si>
  <si>
    <t>HN01-L05-F03-07</t>
  </si>
  <si>
    <t>HN01-L05-F02-08</t>
  </si>
  <si>
    <t>HN01-L05-F03-08</t>
  </si>
  <si>
    <t>HN01-L05-F02-09</t>
  </si>
  <si>
    <t>HN01-L05-F03-09</t>
  </si>
  <si>
    <t>HN01-L05-F02-10</t>
  </si>
  <si>
    <t>HN01-L05-F03-10</t>
  </si>
  <si>
    <t>HN01-L05-F02-11</t>
  </si>
  <si>
    <t>HN01-L05-F03-11</t>
  </si>
  <si>
    <t>HN01-L05-F02-12</t>
  </si>
  <si>
    <t>HN01-L05-F03-12</t>
  </si>
  <si>
    <t>HN01-L05-F02-13</t>
  </si>
  <si>
    <t>HN01-L05-F03-13</t>
  </si>
  <si>
    <t>HN01-L05-F02-14</t>
  </si>
  <si>
    <t>HN01-L05-F03-14</t>
  </si>
  <si>
    <t>HN01-L05-F02-15</t>
  </si>
  <si>
    <t>HN01-L05-F03-15</t>
  </si>
  <si>
    <t>HN01-L05-F02-16</t>
  </si>
  <si>
    <t>HN01-L05-F03-16</t>
  </si>
  <si>
    <t>QTY</t>
  </si>
  <si>
    <t>Data column</t>
  </si>
  <si>
    <t>WMS trans</t>
  </si>
  <si>
    <t>WMS stock</t>
  </si>
  <si>
    <t>Logic</t>
  </si>
  <si>
    <t>summarize QTY by SKU ID with transaction type = "RECEIVING"</t>
  </si>
  <si>
    <t>Transaction type</t>
  </si>
  <si>
    <t>summarize QTY by SKU ID with transaction type = "SHIP"</t>
  </si>
  <si>
    <t>summarize QTY by SKU ID</t>
  </si>
  <si>
    <t>summarize  "ALLOCATE_PCS" &amp; " PICKED_PCS" by SKU ID</t>
  </si>
  <si>
    <t>summarize  "ON_HAND_PCS" &amp; " PUTAWAY_PD_PCS" by SKU ID</t>
  </si>
  <si>
    <t>summarize  "ON_HOLD_PCS" &amp; " RECEIVED_PCS" by SKU ID</t>
  </si>
  <si>
    <t>DataSheet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</si>
</sst>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_-;\-* #,##0.0_-;_-* &quot;-&quot;??_-;_-@_-"/>
    <numFmt numFmtId="165" formatCode="_-* #,##0.0\ _€_-;\-* #,##0.0\ _€_-;_-* &quot;-&quot;?\ _€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5" tint="-0.499984740745262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0" fillId="0" borderId="1" xfId="0" applyBorder="1" applyAlignment="1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left" vertical="center" wrapText="1"/>
    </xf>
    <xf numFmtId="164" fontId="7" fillId="0" borderId="0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165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wrapText="1"/>
    </xf>
    <xf numFmtId="0" fontId="3" fillId="0" borderId="0" xfId="0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8849-CA87-4756-95FB-63E0EA69CB05}">
  <sheetPr codeName="Sheet1"/>
  <dimension ref="A1:AB72"/>
  <sheetViews>
    <sheetView zoomScale="70" zoomScaleNormal="70" workbookViewId="0">
      <selection activeCell="O4" sqref="O4"/>
    </sheetView>
  </sheetViews>
  <sheetFormatPr defaultRowHeight="15" x14ac:dyDescent="0.25"/>
  <cols>
    <col min="1" max="1" width="13.140625" style="16" customWidth="1"/>
    <col min="2" max="5" width="21.7109375" style="16" customWidth="1"/>
    <col min="6" max="6" width="14.5703125" style="16" customWidth="1"/>
    <col min="7" max="7" width="21.7109375" style="16" customWidth="1"/>
    <col min="8" max="10" width="11.5703125" style="16" customWidth="1"/>
    <col min="11" max="28" width="19.140625" style="22" customWidth="1"/>
    <col min="29" max="16384" width="9.140625" style="16"/>
  </cols>
  <sheetData>
    <row r="1" spans="1:28" s="19" customFormat="1" x14ac:dyDescent="0.25">
      <c r="A1" s="19" t="s">
        <v>0</v>
      </c>
      <c r="B1" s="19" t="s">
        <v>1</v>
      </c>
      <c r="C1" s="19" t="s">
        <v>65</v>
      </c>
      <c r="D1" s="19" t="s">
        <v>66</v>
      </c>
      <c r="E1" s="19" t="s">
        <v>67</v>
      </c>
      <c r="F1" s="19" t="s">
        <v>2</v>
      </c>
      <c r="G1" s="19" t="s">
        <v>4</v>
      </c>
      <c r="H1" s="19" t="s">
        <v>59</v>
      </c>
      <c r="I1" s="19" t="s">
        <v>60</v>
      </c>
      <c r="J1" s="19" t="s">
        <v>61</v>
      </c>
      <c r="K1" s="22" t="s">
        <v>40</v>
      </c>
      <c r="L1" s="22" t="s">
        <v>41</v>
      </c>
      <c r="M1" s="22" t="s">
        <v>42</v>
      </c>
      <c r="N1" s="22" t="s">
        <v>43</v>
      </c>
      <c r="O1" s="22" t="s">
        <v>55</v>
      </c>
      <c r="P1" s="22" t="s">
        <v>44</v>
      </c>
      <c r="Q1" s="22" t="s">
        <v>45</v>
      </c>
      <c r="R1" s="22" t="s">
        <v>46</v>
      </c>
      <c r="S1" s="22" t="s">
        <v>47</v>
      </c>
      <c r="T1" s="22" t="s">
        <v>48</v>
      </c>
      <c r="U1" s="22" t="s">
        <v>57</v>
      </c>
      <c r="V1" s="22" t="s">
        <v>50</v>
      </c>
      <c r="W1" s="22" t="s">
        <v>51</v>
      </c>
      <c r="X1" s="22" t="s">
        <v>52</v>
      </c>
      <c r="Y1" s="22" t="s">
        <v>53</v>
      </c>
      <c r="Z1" s="22" t="s">
        <v>54</v>
      </c>
      <c r="AA1" s="22" t="s">
        <v>56</v>
      </c>
      <c r="AB1" s="22" t="s">
        <v>49</v>
      </c>
    </row>
    <row r="2" spans="1:28" x14ac:dyDescent="0.25">
      <c r="A2" s="16" t="s">
        <v>3</v>
      </c>
      <c r="B2" s="16" t="s">
        <v>16</v>
      </c>
      <c r="C2" s="16" t="s">
        <v>16</v>
      </c>
      <c r="D2" s="20" t="s">
        <v>71</v>
      </c>
      <c r="E2" s="20" t="s">
        <v>68</v>
      </c>
      <c r="F2" s="16" t="s">
        <v>5</v>
      </c>
      <c r="G2" s="16" t="s">
        <v>24</v>
      </c>
      <c r="H2" s="16">
        <f t="shared" ref="H2:H12" si="0">24*100</f>
        <v>2400</v>
      </c>
      <c r="I2" s="16">
        <v>100</v>
      </c>
      <c r="J2" s="16">
        <v>1</v>
      </c>
      <c r="K2" s="18">
        <v>0</v>
      </c>
      <c r="L2" s="18">
        <v>0</v>
      </c>
      <c r="M2" s="18">
        <v>3456</v>
      </c>
      <c r="N2" s="18">
        <v>0</v>
      </c>
      <c r="O2" s="18">
        <v>0</v>
      </c>
      <c r="P2" s="18">
        <v>0</v>
      </c>
      <c r="Q2" s="18">
        <f t="shared" ref="Q2:Q33" si="1">K2/$I2</f>
        <v>0</v>
      </c>
      <c r="R2" s="18">
        <f t="shared" ref="R2:R33" si="2">L2/$I2</f>
        <v>0</v>
      </c>
      <c r="S2" s="18">
        <f t="shared" ref="S2:S33" si="3">M2/$I2</f>
        <v>34.56</v>
      </c>
      <c r="T2" s="18">
        <f t="shared" ref="T2:T33" si="4">N2/$I2</f>
        <v>0</v>
      </c>
      <c r="U2" s="18">
        <f t="shared" ref="U2:U33" si="5">O2/$I2</f>
        <v>0</v>
      </c>
      <c r="V2" s="18">
        <f t="shared" ref="V2:V33" si="6">P2/$I2</f>
        <v>0</v>
      </c>
      <c r="W2" s="18">
        <f t="shared" ref="W2:W33" si="7">Q2/$I2</f>
        <v>0</v>
      </c>
      <c r="X2" s="18">
        <f t="shared" ref="X2:X33" si="8">R2/$I2</f>
        <v>0</v>
      </c>
      <c r="Y2" s="18">
        <f t="shared" ref="Y2:Y33" si="9">S2/$I2</f>
        <v>0.34560000000000002</v>
      </c>
      <c r="Z2" s="18">
        <f t="shared" ref="Z2:Z33" si="10">T2/$I2</f>
        <v>0</v>
      </c>
      <c r="AA2" s="18">
        <f t="shared" ref="AA2:AA33" si="11">U2/$I2</f>
        <v>0</v>
      </c>
      <c r="AB2" s="18">
        <f t="shared" ref="AB2:AB33" si="12">V2/$I2</f>
        <v>0</v>
      </c>
    </row>
    <row r="3" spans="1:28" x14ac:dyDescent="0.25">
      <c r="A3" s="16" t="s">
        <v>3</v>
      </c>
      <c r="B3" s="16" t="s">
        <v>16</v>
      </c>
      <c r="C3" s="16" t="s">
        <v>16</v>
      </c>
      <c r="D3" s="20" t="s">
        <v>118</v>
      </c>
      <c r="E3" s="20" t="s">
        <v>68</v>
      </c>
      <c r="F3" s="16" t="s">
        <v>5</v>
      </c>
      <c r="G3" s="16" t="s">
        <v>24</v>
      </c>
      <c r="H3" s="16">
        <f t="shared" si="0"/>
        <v>2400</v>
      </c>
      <c r="I3" s="16">
        <v>100</v>
      </c>
      <c r="J3" s="16">
        <v>1</v>
      </c>
      <c r="K3" s="21">
        <v>5357.5</v>
      </c>
      <c r="L3" s="18">
        <v>0</v>
      </c>
      <c r="M3" s="18">
        <v>0</v>
      </c>
      <c r="N3" s="18">
        <v>0</v>
      </c>
      <c r="O3" s="18">
        <v>0</v>
      </c>
      <c r="P3" s="18">
        <v>0</v>
      </c>
      <c r="Q3" s="18">
        <f t="shared" si="1"/>
        <v>53.575000000000003</v>
      </c>
      <c r="R3" s="18">
        <f t="shared" si="2"/>
        <v>0</v>
      </c>
      <c r="S3" s="18">
        <f t="shared" si="3"/>
        <v>0</v>
      </c>
      <c r="T3" s="18">
        <f t="shared" si="4"/>
        <v>0</v>
      </c>
      <c r="U3" s="18">
        <f t="shared" si="5"/>
        <v>0</v>
      </c>
      <c r="V3" s="18">
        <f t="shared" si="6"/>
        <v>0</v>
      </c>
      <c r="W3" s="18">
        <f t="shared" si="7"/>
        <v>0.53575000000000006</v>
      </c>
      <c r="X3" s="18">
        <f t="shared" si="8"/>
        <v>0</v>
      </c>
      <c r="Y3" s="18">
        <f t="shared" si="9"/>
        <v>0</v>
      </c>
      <c r="Z3" s="18">
        <f t="shared" si="10"/>
        <v>0</v>
      </c>
      <c r="AA3" s="18">
        <f t="shared" si="11"/>
        <v>0</v>
      </c>
      <c r="AB3" s="18">
        <f t="shared" si="12"/>
        <v>0</v>
      </c>
    </row>
    <row r="4" spans="1:28" x14ac:dyDescent="0.25">
      <c r="A4" s="16" t="s">
        <v>3</v>
      </c>
      <c r="B4" s="16" t="s">
        <v>16</v>
      </c>
      <c r="C4" s="16" t="s">
        <v>16</v>
      </c>
      <c r="D4" s="20" t="s">
        <v>124</v>
      </c>
      <c r="E4" s="20" t="s">
        <v>68</v>
      </c>
      <c r="F4" s="16" t="s">
        <v>5</v>
      </c>
      <c r="G4" s="16" t="s">
        <v>24</v>
      </c>
      <c r="H4" s="16">
        <f t="shared" si="0"/>
        <v>2400</v>
      </c>
      <c r="I4" s="16">
        <v>100</v>
      </c>
      <c r="J4" s="16">
        <v>1</v>
      </c>
      <c r="K4" s="18">
        <v>0</v>
      </c>
      <c r="L4" s="21">
        <v>1555.5</v>
      </c>
      <c r="M4" s="18">
        <v>0</v>
      </c>
      <c r="N4" s="18">
        <v>0</v>
      </c>
      <c r="O4" s="18">
        <v>0</v>
      </c>
      <c r="P4" s="18">
        <v>0</v>
      </c>
      <c r="Q4" s="18">
        <f t="shared" si="1"/>
        <v>0</v>
      </c>
      <c r="R4" s="18">
        <f t="shared" si="2"/>
        <v>15.555</v>
      </c>
      <c r="S4" s="18">
        <f t="shared" si="3"/>
        <v>0</v>
      </c>
      <c r="T4" s="18">
        <f t="shared" si="4"/>
        <v>0</v>
      </c>
      <c r="U4" s="18">
        <f t="shared" si="5"/>
        <v>0</v>
      </c>
      <c r="V4" s="18">
        <f t="shared" si="6"/>
        <v>0</v>
      </c>
      <c r="W4" s="18">
        <f t="shared" si="7"/>
        <v>0</v>
      </c>
      <c r="X4" s="18">
        <f t="shared" si="8"/>
        <v>0.15554999999999999</v>
      </c>
      <c r="Y4" s="18">
        <f t="shared" si="9"/>
        <v>0</v>
      </c>
      <c r="Z4" s="18">
        <f t="shared" si="10"/>
        <v>0</v>
      </c>
      <c r="AA4" s="18">
        <f t="shared" si="11"/>
        <v>0</v>
      </c>
      <c r="AB4" s="18">
        <f t="shared" si="12"/>
        <v>0</v>
      </c>
    </row>
    <row r="5" spans="1:28" x14ac:dyDescent="0.25">
      <c r="A5" s="16" t="s">
        <v>3</v>
      </c>
      <c r="B5" s="16" t="s">
        <v>16</v>
      </c>
      <c r="C5" s="16" t="s">
        <v>16</v>
      </c>
      <c r="D5" s="20" t="s">
        <v>142</v>
      </c>
      <c r="E5" s="20" t="s">
        <v>68</v>
      </c>
      <c r="F5" s="16" t="s">
        <v>5</v>
      </c>
      <c r="G5" s="16" t="s">
        <v>24</v>
      </c>
      <c r="H5" s="16">
        <f t="shared" si="0"/>
        <v>2400</v>
      </c>
      <c r="I5" s="16">
        <v>100</v>
      </c>
      <c r="J5" s="16">
        <v>1</v>
      </c>
      <c r="K5" s="21">
        <v>5357.5</v>
      </c>
      <c r="L5" s="18">
        <v>0</v>
      </c>
      <c r="M5" s="18">
        <v>0</v>
      </c>
      <c r="N5" s="18">
        <v>0</v>
      </c>
      <c r="O5" s="18">
        <v>0</v>
      </c>
      <c r="P5" s="18">
        <v>0</v>
      </c>
      <c r="Q5" s="18">
        <f t="shared" si="1"/>
        <v>53.575000000000003</v>
      </c>
      <c r="R5" s="18">
        <f t="shared" si="2"/>
        <v>0</v>
      </c>
      <c r="S5" s="18">
        <f t="shared" si="3"/>
        <v>0</v>
      </c>
      <c r="T5" s="18">
        <f t="shared" si="4"/>
        <v>0</v>
      </c>
      <c r="U5" s="18">
        <f t="shared" si="5"/>
        <v>0</v>
      </c>
      <c r="V5" s="18">
        <f t="shared" si="6"/>
        <v>0</v>
      </c>
      <c r="W5" s="18">
        <f t="shared" si="7"/>
        <v>0.53575000000000006</v>
      </c>
      <c r="X5" s="18">
        <f t="shared" si="8"/>
        <v>0</v>
      </c>
      <c r="Y5" s="18">
        <f t="shared" si="9"/>
        <v>0</v>
      </c>
      <c r="Z5" s="18">
        <f t="shared" si="10"/>
        <v>0</v>
      </c>
      <c r="AA5" s="18">
        <f t="shared" si="11"/>
        <v>0</v>
      </c>
      <c r="AB5" s="18">
        <f t="shared" si="12"/>
        <v>0</v>
      </c>
    </row>
    <row r="6" spans="1:28" x14ac:dyDescent="0.25">
      <c r="A6" s="16" t="s">
        <v>3</v>
      </c>
      <c r="B6" s="16" t="s">
        <v>16</v>
      </c>
      <c r="C6" s="16" t="s">
        <v>16</v>
      </c>
      <c r="D6" s="20" t="s">
        <v>148</v>
      </c>
      <c r="E6" s="20" t="s">
        <v>68</v>
      </c>
      <c r="F6" s="16" t="s">
        <v>5</v>
      </c>
      <c r="G6" s="16" t="s">
        <v>24</v>
      </c>
      <c r="H6" s="16">
        <f t="shared" si="0"/>
        <v>2400</v>
      </c>
      <c r="I6" s="16">
        <v>100</v>
      </c>
      <c r="J6" s="16">
        <v>1</v>
      </c>
      <c r="K6" s="18">
        <v>0</v>
      </c>
      <c r="L6" s="21">
        <v>1555.5</v>
      </c>
      <c r="M6" s="18">
        <v>0</v>
      </c>
      <c r="N6" s="18">
        <v>0</v>
      </c>
      <c r="O6" s="18">
        <v>0</v>
      </c>
      <c r="P6" s="18">
        <v>0</v>
      </c>
      <c r="Q6" s="18">
        <f t="shared" si="1"/>
        <v>0</v>
      </c>
      <c r="R6" s="18">
        <f t="shared" si="2"/>
        <v>15.555</v>
      </c>
      <c r="S6" s="18">
        <f t="shared" si="3"/>
        <v>0</v>
      </c>
      <c r="T6" s="18">
        <f t="shared" si="4"/>
        <v>0</v>
      </c>
      <c r="U6" s="18">
        <f t="shared" si="5"/>
        <v>0</v>
      </c>
      <c r="V6" s="18">
        <f t="shared" si="6"/>
        <v>0</v>
      </c>
      <c r="W6" s="18">
        <f t="shared" si="7"/>
        <v>0</v>
      </c>
      <c r="X6" s="18">
        <f t="shared" si="8"/>
        <v>0.15554999999999999</v>
      </c>
      <c r="Y6" s="18">
        <f t="shared" si="9"/>
        <v>0</v>
      </c>
      <c r="Z6" s="18">
        <f t="shared" si="10"/>
        <v>0</v>
      </c>
      <c r="AA6" s="18">
        <f t="shared" si="11"/>
        <v>0</v>
      </c>
      <c r="AB6" s="18">
        <f t="shared" si="12"/>
        <v>0</v>
      </c>
    </row>
    <row r="7" spans="1:28" x14ac:dyDescent="0.25">
      <c r="A7" s="16" t="s">
        <v>3</v>
      </c>
      <c r="B7" s="16" t="s">
        <v>17</v>
      </c>
      <c r="C7" s="16" t="s">
        <v>17</v>
      </c>
      <c r="D7" s="20" t="s">
        <v>71</v>
      </c>
      <c r="E7" s="20" t="s">
        <v>68</v>
      </c>
      <c r="F7" s="16" t="s">
        <v>5</v>
      </c>
      <c r="G7" s="16" t="s">
        <v>24</v>
      </c>
      <c r="H7" s="16">
        <f t="shared" si="0"/>
        <v>2400</v>
      </c>
      <c r="I7" s="16">
        <v>100</v>
      </c>
      <c r="J7" s="16">
        <v>1</v>
      </c>
      <c r="K7" s="18">
        <v>0</v>
      </c>
      <c r="L7" s="18">
        <v>0</v>
      </c>
      <c r="M7" s="18">
        <v>4081</v>
      </c>
      <c r="N7" s="18">
        <v>0</v>
      </c>
      <c r="O7" s="18">
        <v>0</v>
      </c>
      <c r="P7" s="18">
        <v>0</v>
      </c>
      <c r="Q7" s="18">
        <f t="shared" si="1"/>
        <v>0</v>
      </c>
      <c r="R7" s="18">
        <f t="shared" si="2"/>
        <v>0</v>
      </c>
      <c r="S7" s="18">
        <f t="shared" si="3"/>
        <v>40.81</v>
      </c>
      <c r="T7" s="18">
        <f t="shared" si="4"/>
        <v>0</v>
      </c>
      <c r="U7" s="18">
        <f t="shared" si="5"/>
        <v>0</v>
      </c>
      <c r="V7" s="18">
        <f t="shared" si="6"/>
        <v>0</v>
      </c>
      <c r="W7" s="18">
        <f t="shared" si="7"/>
        <v>0</v>
      </c>
      <c r="X7" s="18">
        <f t="shared" si="8"/>
        <v>0</v>
      </c>
      <c r="Y7" s="18">
        <f t="shared" si="9"/>
        <v>0.40810000000000002</v>
      </c>
      <c r="Z7" s="18">
        <f t="shared" si="10"/>
        <v>0</v>
      </c>
      <c r="AA7" s="18">
        <f t="shared" si="11"/>
        <v>0</v>
      </c>
      <c r="AB7" s="18">
        <f t="shared" si="12"/>
        <v>0</v>
      </c>
    </row>
    <row r="8" spans="1:28" x14ac:dyDescent="0.25">
      <c r="A8" s="16" t="s">
        <v>3</v>
      </c>
      <c r="B8" s="16" t="s">
        <v>17</v>
      </c>
      <c r="C8" s="16" t="s">
        <v>17</v>
      </c>
      <c r="D8" s="20" t="s">
        <v>101</v>
      </c>
      <c r="E8" s="20" t="s">
        <v>68</v>
      </c>
      <c r="F8" s="16" t="s">
        <v>5</v>
      </c>
      <c r="G8" s="16" t="s">
        <v>24</v>
      </c>
      <c r="H8" s="16">
        <f t="shared" si="0"/>
        <v>2400</v>
      </c>
      <c r="I8" s="16">
        <v>100</v>
      </c>
      <c r="J8" s="16">
        <v>1</v>
      </c>
      <c r="K8" s="18">
        <v>0</v>
      </c>
      <c r="L8" s="18">
        <v>0</v>
      </c>
      <c r="M8" s="18">
        <v>0</v>
      </c>
      <c r="N8" s="18">
        <v>0</v>
      </c>
      <c r="O8" s="18">
        <v>0</v>
      </c>
      <c r="P8" s="18">
        <v>720</v>
      </c>
      <c r="Q8" s="18">
        <f t="shared" si="1"/>
        <v>0</v>
      </c>
      <c r="R8" s="18">
        <f t="shared" si="2"/>
        <v>0</v>
      </c>
      <c r="S8" s="18">
        <f t="shared" si="3"/>
        <v>0</v>
      </c>
      <c r="T8" s="18">
        <f t="shared" si="4"/>
        <v>0</v>
      </c>
      <c r="U8" s="18">
        <f t="shared" si="5"/>
        <v>0</v>
      </c>
      <c r="V8" s="18">
        <f t="shared" si="6"/>
        <v>7.2</v>
      </c>
      <c r="W8" s="18">
        <f t="shared" si="7"/>
        <v>0</v>
      </c>
      <c r="X8" s="18">
        <f t="shared" si="8"/>
        <v>0</v>
      </c>
      <c r="Y8" s="18">
        <f t="shared" si="9"/>
        <v>0</v>
      </c>
      <c r="Z8" s="18">
        <f t="shared" si="10"/>
        <v>0</v>
      </c>
      <c r="AA8" s="18">
        <f t="shared" si="11"/>
        <v>0</v>
      </c>
      <c r="AB8" s="18">
        <f t="shared" si="12"/>
        <v>7.2000000000000008E-2</v>
      </c>
    </row>
    <row r="9" spans="1:28" x14ac:dyDescent="0.25">
      <c r="A9" s="16" t="s">
        <v>3</v>
      </c>
      <c r="B9" s="16" t="s">
        <v>17</v>
      </c>
      <c r="C9" s="16" t="s">
        <v>17</v>
      </c>
      <c r="D9" s="20" t="s">
        <v>119</v>
      </c>
      <c r="E9" s="20" t="s">
        <v>68</v>
      </c>
      <c r="F9" s="16" t="s">
        <v>5</v>
      </c>
      <c r="G9" s="16" t="s">
        <v>24</v>
      </c>
      <c r="H9" s="16">
        <f t="shared" si="0"/>
        <v>2400</v>
      </c>
      <c r="I9" s="16">
        <v>100</v>
      </c>
      <c r="J9" s="16">
        <v>1</v>
      </c>
      <c r="K9" s="21">
        <v>7441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f t="shared" si="1"/>
        <v>74.41</v>
      </c>
      <c r="R9" s="18">
        <f t="shared" si="2"/>
        <v>0</v>
      </c>
      <c r="S9" s="18">
        <f t="shared" si="3"/>
        <v>0</v>
      </c>
      <c r="T9" s="18">
        <f t="shared" si="4"/>
        <v>0</v>
      </c>
      <c r="U9" s="18">
        <f t="shared" si="5"/>
        <v>0</v>
      </c>
      <c r="V9" s="18">
        <f t="shared" si="6"/>
        <v>0</v>
      </c>
      <c r="W9" s="18">
        <f t="shared" si="7"/>
        <v>0.74409999999999998</v>
      </c>
      <c r="X9" s="18">
        <f t="shared" si="8"/>
        <v>0</v>
      </c>
      <c r="Y9" s="18">
        <f t="shared" si="9"/>
        <v>0</v>
      </c>
      <c r="Z9" s="18">
        <f t="shared" si="10"/>
        <v>0</v>
      </c>
      <c r="AA9" s="18">
        <f t="shared" si="11"/>
        <v>0</v>
      </c>
      <c r="AB9" s="18">
        <f t="shared" si="12"/>
        <v>0</v>
      </c>
    </row>
    <row r="10" spans="1:28" x14ac:dyDescent="0.25">
      <c r="A10" s="16" t="s">
        <v>3</v>
      </c>
      <c r="B10" s="16" t="s">
        <v>17</v>
      </c>
      <c r="C10" s="16" t="s">
        <v>17</v>
      </c>
      <c r="D10" s="20" t="s">
        <v>125</v>
      </c>
      <c r="E10" s="20" t="s">
        <v>68</v>
      </c>
      <c r="F10" s="16" t="s">
        <v>5</v>
      </c>
      <c r="G10" s="16" t="s">
        <v>24</v>
      </c>
      <c r="H10" s="16">
        <f t="shared" si="0"/>
        <v>2400</v>
      </c>
      <c r="I10" s="16">
        <v>100</v>
      </c>
      <c r="J10" s="16">
        <v>1</v>
      </c>
      <c r="K10" s="18">
        <v>0</v>
      </c>
      <c r="L10" s="21">
        <v>2160.5</v>
      </c>
      <c r="M10" s="18">
        <v>0</v>
      </c>
      <c r="N10" s="18">
        <v>0</v>
      </c>
      <c r="O10" s="18">
        <v>0</v>
      </c>
      <c r="P10" s="18">
        <v>0</v>
      </c>
      <c r="Q10" s="18">
        <f t="shared" si="1"/>
        <v>0</v>
      </c>
      <c r="R10" s="18">
        <f t="shared" si="2"/>
        <v>21.605</v>
      </c>
      <c r="S10" s="18">
        <f t="shared" si="3"/>
        <v>0</v>
      </c>
      <c r="T10" s="18">
        <f t="shared" si="4"/>
        <v>0</v>
      </c>
      <c r="U10" s="18">
        <f t="shared" si="5"/>
        <v>0</v>
      </c>
      <c r="V10" s="18">
        <f t="shared" si="6"/>
        <v>0</v>
      </c>
      <c r="W10" s="18">
        <f t="shared" si="7"/>
        <v>0</v>
      </c>
      <c r="X10" s="18">
        <f t="shared" si="8"/>
        <v>0.21604999999999999</v>
      </c>
      <c r="Y10" s="18">
        <f t="shared" si="9"/>
        <v>0</v>
      </c>
      <c r="Z10" s="18">
        <f t="shared" si="10"/>
        <v>0</v>
      </c>
      <c r="AA10" s="18">
        <f t="shared" si="11"/>
        <v>0</v>
      </c>
      <c r="AB10" s="18">
        <f t="shared" si="12"/>
        <v>0</v>
      </c>
    </row>
    <row r="11" spans="1:28" x14ac:dyDescent="0.25">
      <c r="A11" s="16" t="s">
        <v>3</v>
      </c>
      <c r="B11" s="16" t="s">
        <v>17</v>
      </c>
      <c r="C11" s="16" t="s">
        <v>17</v>
      </c>
      <c r="D11" s="20" t="s">
        <v>143</v>
      </c>
      <c r="E11" s="20" t="s">
        <v>68</v>
      </c>
      <c r="F11" s="16" t="s">
        <v>5</v>
      </c>
      <c r="G11" s="16" t="s">
        <v>24</v>
      </c>
      <c r="H11" s="16">
        <f t="shared" si="0"/>
        <v>2400</v>
      </c>
      <c r="I11" s="16">
        <v>100</v>
      </c>
      <c r="J11" s="16">
        <v>1</v>
      </c>
      <c r="K11" s="21">
        <v>7441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f t="shared" si="1"/>
        <v>74.41</v>
      </c>
      <c r="R11" s="18">
        <f t="shared" si="2"/>
        <v>0</v>
      </c>
      <c r="S11" s="18">
        <f t="shared" si="3"/>
        <v>0</v>
      </c>
      <c r="T11" s="18">
        <f t="shared" si="4"/>
        <v>0</v>
      </c>
      <c r="U11" s="18">
        <f t="shared" si="5"/>
        <v>0</v>
      </c>
      <c r="V11" s="18">
        <f t="shared" si="6"/>
        <v>0</v>
      </c>
      <c r="W11" s="18">
        <f t="shared" si="7"/>
        <v>0.74409999999999998</v>
      </c>
      <c r="X11" s="18">
        <f t="shared" si="8"/>
        <v>0</v>
      </c>
      <c r="Y11" s="18">
        <f t="shared" si="9"/>
        <v>0</v>
      </c>
      <c r="Z11" s="18">
        <f t="shared" si="10"/>
        <v>0</v>
      </c>
      <c r="AA11" s="18">
        <f t="shared" si="11"/>
        <v>0</v>
      </c>
      <c r="AB11" s="18">
        <f t="shared" si="12"/>
        <v>0</v>
      </c>
    </row>
    <row r="12" spans="1:28" x14ac:dyDescent="0.25">
      <c r="A12" s="16" t="s">
        <v>3</v>
      </c>
      <c r="B12" s="16" t="s">
        <v>17</v>
      </c>
      <c r="C12" s="16" t="s">
        <v>17</v>
      </c>
      <c r="D12" s="20" t="s">
        <v>149</v>
      </c>
      <c r="E12" s="20" t="s">
        <v>68</v>
      </c>
      <c r="F12" s="16" t="s">
        <v>5</v>
      </c>
      <c r="G12" s="16" t="s">
        <v>24</v>
      </c>
      <c r="H12" s="16">
        <f t="shared" si="0"/>
        <v>2400</v>
      </c>
      <c r="I12" s="16">
        <v>100</v>
      </c>
      <c r="J12" s="16">
        <v>1</v>
      </c>
      <c r="K12" s="18">
        <v>0</v>
      </c>
      <c r="L12" s="21">
        <v>2160.5</v>
      </c>
      <c r="M12" s="18">
        <v>0</v>
      </c>
      <c r="N12" s="18">
        <v>0</v>
      </c>
      <c r="O12" s="18">
        <v>0</v>
      </c>
      <c r="P12" s="18">
        <v>0</v>
      </c>
      <c r="Q12" s="18">
        <f t="shared" si="1"/>
        <v>0</v>
      </c>
      <c r="R12" s="18">
        <f t="shared" si="2"/>
        <v>21.605</v>
      </c>
      <c r="S12" s="18">
        <f t="shared" si="3"/>
        <v>0</v>
      </c>
      <c r="T12" s="18">
        <f t="shared" si="4"/>
        <v>0</v>
      </c>
      <c r="U12" s="18">
        <f t="shared" si="5"/>
        <v>0</v>
      </c>
      <c r="V12" s="18">
        <f t="shared" si="6"/>
        <v>0</v>
      </c>
      <c r="W12" s="18">
        <f t="shared" si="7"/>
        <v>0</v>
      </c>
      <c r="X12" s="18">
        <f t="shared" si="8"/>
        <v>0.21604999999999999</v>
      </c>
      <c r="Y12" s="18">
        <f t="shared" si="9"/>
        <v>0</v>
      </c>
      <c r="Z12" s="18">
        <f t="shared" si="10"/>
        <v>0</v>
      </c>
      <c r="AA12" s="18">
        <f t="shared" si="11"/>
        <v>0</v>
      </c>
      <c r="AB12" s="18">
        <f t="shared" si="12"/>
        <v>0</v>
      </c>
    </row>
    <row r="13" spans="1:28" x14ac:dyDescent="0.25">
      <c r="A13" s="16" t="s">
        <v>3</v>
      </c>
      <c r="B13" s="20" t="s">
        <v>14</v>
      </c>
      <c r="C13" s="20" t="s">
        <v>14</v>
      </c>
      <c r="D13" s="20" t="s">
        <v>71</v>
      </c>
      <c r="E13" s="20" t="s">
        <v>69</v>
      </c>
      <c r="F13" s="16" t="s">
        <v>6</v>
      </c>
      <c r="G13" s="16" t="s">
        <v>23</v>
      </c>
      <c r="H13" s="16">
        <f t="shared" ref="H13:H34" si="13">12*60</f>
        <v>720</v>
      </c>
      <c r="I13" s="16">
        <v>60</v>
      </c>
      <c r="J13" s="16">
        <v>1</v>
      </c>
      <c r="K13" s="18">
        <v>0</v>
      </c>
      <c r="L13" s="18">
        <v>0</v>
      </c>
      <c r="M13" s="18">
        <v>1441</v>
      </c>
      <c r="N13" s="18">
        <v>216</v>
      </c>
      <c r="O13" s="18">
        <v>0</v>
      </c>
      <c r="P13" s="18">
        <v>0</v>
      </c>
      <c r="Q13" s="18">
        <f t="shared" si="1"/>
        <v>0</v>
      </c>
      <c r="R13" s="18">
        <f t="shared" si="2"/>
        <v>0</v>
      </c>
      <c r="S13" s="18">
        <f t="shared" si="3"/>
        <v>24.016666666666666</v>
      </c>
      <c r="T13" s="18">
        <f t="shared" si="4"/>
        <v>3.6</v>
      </c>
      <c r="U13" s="18">
        <f t="shared" si="5"/>
        <v>0</v>
      </c>
      <c r="V13" s="18">
        <f t="shared" si="6"/>
        <v>0</v>
      </c>
      <c r="W13" s="18">
        <f t="shared" si="7"/>
        <v>0</v>
      </c>
      <c r="X13" s="18">
        <f t="shared" si="8"/>
        <v>0</v>
      </c>
      <c r="Y13" s="18">
        <f t="shared" si="9"/>
        <v>0.40027777777777779</v>
      </c>
      <c r="Z13" s="18">
        <f t="shared" si="10"/>
        <v>6.0000000000000005E-2</v>
      </c>
      <c r="AA13" s="18">
        <f t="shared" si="11"/>
        <v>0</v>
      </c>
      <c r="AB13" s="18">
        <f t="shared" si="12"/>
        <v>0</v>
      </c>
    </row>
    <row r="14" spans="1:28" x14ac:dyDescent="0.25">
      <c r="A14" s="16" t="s">
        <v>3</v>
      </c>
      <c r="B14" s="20" t="s">
        <v>14</v>
      </c>
      <c r="C14" s="20" t="s">
        <v>14</v>
      </c>
      <c r="D14" s="20" t="s">
        <v>113</v>
      </c>
      <c r="E14" s="20" t="s">
        <v>69</v>
      </c>
      <c r="F14" s="16" t="s">
        <v>6</v>
      </c>
      <c r="G14" s="16" t="s">
        <v>23</v>
      </c>
      <c r="H14" s="16">
        <f t="shared" si="13"/>
        <v>720</v>
      </c>
      <c r="I14" s="16">
        <v>60</v>
      </c>
      <c r="J14" s="16">
        <v>1</v>
      </c>
      <c r="K14" s="21">
        <v>2125</v>
      </c>
      <c r="L14" s="21">
        <v>648.5</v>
      </c>
      <c r="M14" s="18">
        <v>0</v>
      </c>
      <c r="N14" s="18">
        <v>0</v>
      </c>
      <c r="O14" s="18">
        <v>0</v>
      </c>
      <c r="P14" s="18">
        <v>0</v>
      </c>
      <c r="Q14" s="18">
        <f t="shared" si="1"/>
        <v>35.416666666666664</v>
      </c>
      <c r="R14" s="18">
        <f t="shared" si="2"/>
        <v>10.808333333333334</v>
      </c>
      <c r="S14" s="18">
        <f t="shared" si="3"/>
        <v>0</v>
      </c>
      <c r="T14" s="18">
        <f t="shared" si="4"/>
        <v>0</v>
      </c>
      <c r="U14" s="18">
        <f t="shared" si="5"/>
        <v>0</v>
      </c>
      <c r="V14" s="18">
        <f t="shared" si="6"/>
        <v>0</v>
      </c>
      <c r="W14" s="18">
        <f t="shared" si="7"/>
        <v>0.59027777777777779</v>
      </c>
      <c r="X14" s="18">
        <f t="shared" si="8"/>
        <v>0.1801388888888889</v>
      </c>
      <c r="Y14" s="18">
        <f t="shared" si="9"/>
        <v>0</v>
      </c>
      <c r="Z14" s="18">
        <f t="shared" si="10"/>
        <v>0</v>
      </c>
      <c r="AA14" s="18">
        <f t="shared" si="11"/>
        <v>0</v>
      </c>
      <c r="AB14" s="18">
        <f t="shared" si="12"/>
        <v>0</v>
      </c>
    </row>
    <row r="15" spans="1:28" x14ac:dyDescent="0.25">
      <c r="A15" s="16" t="s">
        <v>3</v>
      </c>
      <c r="B15" s="20" t="s">
        <v>14</v>
      </c>
      <c r="C15" s="20" t="s">
        <v>14</v>
      </c>
      <c r="D15" s="20" t="s">
        <v>135</v>
      </c>
      <c r="E15" s="20" t="s">
        <v>69</v>
      </c>
      <c r="F15" s="16" t="s">
        <v>6</v>
      </c>
      <c r="G15" s="16" t="s">
        <v>23</v>
      </c>
      <c r="H15" s="16">
        <f t="shared" si="13"/>
        <v>720</v>
      </c>
      <c r="I15" s="16">
        <v>60</v>
      </c>
      <c r="J15" s="16">
        <v>1</v>
      </c>
      <c r="K15" s="21">
        <v>2125</v>
      </c>
      <c r="L15" s="21">
        <v>648.5</v>
      </c>
      <c r="M15" s="18">
        <v>0</v>
      </c>
      <c r="N15" s="18">
        <v>0</v>
      </c>
      <c r="O15" s="18">
        <v>0</v>
      </c>
      <c r="P15" s="18">
        <v>0</v>
      </c>
      <c r="Q15" s="18">
        <f t="shared" si="1"/>
        <v>35.416666666666664</v>
      </c>
      <c r="R15" s="18">
        <f t="shared" si="2"/>
        <v>10.808333333333334</v>
      </c>
      <c r="S15" s="18">
        <f t="shared" si="3"/>
        <v>0</v>
      </c>
      <c r="T15" s="18">
        <f t="shared" si="4"/>
        <v>0</v>
      </c>
      <c r="U15" s="18">
        <f t="shared" si="5"/>
        <v>0</v>
      </c>
      <c r="V15" s="18">
        <f t="shared" si="6"/>
        <v>0</v>
      </c>
      <c r="W15" s="18">
        <f t="shared" si="7"/>
        <v>0.59027777777777779</v>
      </c>
      <c r="X15" s="18">
        <f t="shared" si="8"/>
        <v>0.1801388888888889</v>
      </c>
      <c r="Y15" s="18">
        <f t="shared" si="9"/>
        <v>0</v>
      </c>
      <c r="Z15" s="18">
        <f t="shared" si="10"/>
        <v>0</v>
      </c>
      <c r="AA15" s="18">
        <f t="shared" si="11"/>
        <v>0</v>
      </c>
      <c r="AB15" s="18">
        <f t="shared" si="12"/>
        <v>0</v>
      </c>
    </row>
    <row r="16" spans="1:28" x14ac:dyDescent="0.25">
      <c r="A16" s="16" t="s">
        <v>3</v>
      </c>
      <c r="B16" s="20" t="s">
        <v>15</v>
      </c>
      <c r="C16" s="20" t="s">
        <v>15</v>
      </c>
      <c r="D16" s="20" t="s">
        <v>71</v>
      </c>
      <c r="E16" s="20" t="s">
        <v>69</v>
      </c>
      <c r="F16" s="16" t="s">
        <v>6</v>
      </c>
      <c r="G16" s="16" t="s">
        <v>23</v>
      </c>
      <c r="H16" s="16">
        <f t="shared" si="13"/>
        <v>720</v>
      </c>
      <c r="I16" s="16">
        <v>60</v>
      </c>
      <c r="J16" s="16">
        <v>1</v>
      </c>
      <c r="K16" s="18">
        <v>0</v>
      </c>
      <c r="L16" s="18">
        <v>0</v>
      </c>
      <c r="M16" s="18">
        <v>144</v>
      </c>
      <c r="N16" s="18">
        <v>0</v>
      </c>
      <c r="O16" s="18">
        <v>0</v>
      </c>
      <c r="P16" s="18">
        <v>0</v>
      </c>
      <c r="Q16" s="18">
        <f t="shared" si="1"/>
        <v>0</v>
      </c>
      <c r="R16" s="18">
        <f t="shared" si="2"/>
        <v>0</v>
      </c>
      <c r="S16" s="18">
        <f t="shared" si="3"/>
        <v>2.4</v>
      </c>
      <c r="T16" s="18">
        <f t="shared" si="4"/>
        <v>0</v>
      </c>
      <c r="U16" s="18">
        <f t="shared" si="5"/>
        <v>0</v>
      </c>
      <c r="V16" s="18">
        <f t="shared" si="6"/>
        <v>0</v>
      </c>
      <c r="W16" s="18">
        <f t="shared" si="7"/>
        <v>0</v>
      </c>
      <c r="X16" s="18">
        <f t="shared" si="8"/>
        <v>0</v>
      </c>
      <c r="Y16" s="18">
        <f t="shared" si="9"/>
        <v>0.04</v>
      </c>
      <c r="Z16" s="18">
        <f t="shared" si="10"/>
        <v>0</v>
      </c>
      <c r="AA16" s="18">
        <f t="shared" si="11"/>
        <v>0</v>
      </c>
      <c r="AB16" s="18">
        <f t="shared" si="12"/>
        <v>0</v>
      </c>
    </row>
    <row r="17" spans="1:28" x14ac:dyDescent="0.25">
      <c r="A17" s="16" t="s">
        <v>3</v>
      </c>
      <c r="B17" s="20" t="s">
        <v>15</v>
      </c>
      <c r="C17" s="20" t="s">
        <v>15</v>
      </c>
      <c r="D17" s="20" t="s">
        <v>114</v>
      </c>
      <c r="E17" s="20" t="s">
        <v>69</v>
      </c>
      <c r="F17" s="16" t="s">
        <v>6</v>
      </c>
      <c r="G17" s="16" t="s">
        <v>23</v>
      </c>
      <c r="H17" s="16">
        <f t="shared" si="13"/>
        <v>720</v>
      </c>
      <c r="I17" s="16">
        <v>60</v>
      </c>
      <c r="J17" s="16">
        <v>1</v>
      </c>
      <c r="K17" s="21">
        <v>225</v>
      </c>
      <c r="L17" s="21">
        <v>65.5</v>
      </c>
      <c r="M17" s="18">
        <v>0</v>
      </c>
      <c r="N17" s="18">
        <v>0</v>
      </c>
      <c r="O17" s="18">
        <v>0</v>
      </c>
      <c r="P17" s="18">
        <v>0</v>
      </c>
      <c r="Q17" s="18">
        <f t="shared" si="1"/>
        <v>3.75</v>
      </c>
      <c r="R17" s="18">
        <f t="shared" si="2"/>
        <v>1.0916666666666666</v>
      </c>
      <c r="S17" s="18">
        <f t="shared" si="3"/>
        <v>0</v>
      </c>
      <c r="T17" s="18">
        <f t="shared" si="4"/>
        <v>0</v>
      </c>
      <c r="U17" s="18">
        <f t="shared" si="5"/>
        <v>0</v>
      </c>
      <c r="V17" s="18">
        <f t="shared" si="6"/>
        <v>0</v>
      </c>
      <c r="W17" s="18">
        <f t="shared" si="7"/>
        <v>6.25E-2</v>
      </c>
      <c r="X17" s="18">
        <f t="shared" si="8"/>
        <v>1.8194444444444444E-2</v>
      </c>
      <c r="Y17" s="18">
        <f t="shared" si="9"/>
        <v>0</v>
      </c>
      <c r="Z17" s="18">
        <f t="shared" si="10"/>
        <v>0</v>
      </c>
      <c r="AA17" s="18">
        <f t="shared" si="11"/>
        <v>0</v>
      </c>
      <c r="AB17" s="18">
        <f t="shared" si="12"/>
        <v>0</v>
      </c>
    </row>
    <row r="18" spans="1:28" x14ac:dyDescent="0.25">
      <c r="A18" s="16" t="s">
        <v>3</v>
      </c>
      <c r="B18" s="20" t="s">
        <v>15</v>
      </c>
      <c r="C18" s="20" t="s">
        <v>15</v>
      </c>
      <c r="D18" s="20" t="s">
        <v>136</v>
      </c>
      <c r="E18" s="20" t="s">
        <v>69</v>
      </c>
      <c r="F18" s="16" t="s">
        <v>6</v>
      </c>
      <c r="G18" s="16" t="s">
        <v>23</v>
      </c>
      <c r="H18" s="16">
        <f t="shared" si="13"/>
        <v>720</v>
      </c>
      <c r="I18" s="16">
        <v>60</v>
      </c>
      <c r="J18" s="16">
        <v>1</v>
      </c>
      <c r="K18" s="21">
        <v>225</v>
      </c>
      <c r="L18" s="21">
        <v>65.5</v>
      </c>
      <c r="M18" s="18">
        <v>0</v>
      </c>
      <c r="N18" s="18">
        <v>0</v>
      </c>
      <c r="O18" s="18">
        <v>0</v>
      </c>
      <c r="P18" s="18">
        <v>0</v>
      </c>
      <c r="Q18" s="18">
        <f t="shared" si="1"/>
        <v>3.75</v>
      </c>
      <c r="R18" s="18">
        <f t="shared" si="2"/>
        <v>1.0916666666666666</v>
      </c>
      <c r="S18" s="18">
        <f t="shared" si="3"/>
        <v>0</v>
      </c>
      <c r="T18" s="18">
        <f t="shared" si="4"/>
        <v>0</v>
      </c>
      <c r="U18" s="18">
        <f t="shared" si="5"/>
        <v>0</v>
      </c>
      <c r="V18" s="18">
        <f t="shared" si="6"/>
        <v>0</v>
      </c>
      <c r="W18" s="18">
        <f t="shared" si="7"/>
        <v>6.25E-2</v>
      </c>
      <c r="X18" s="18">
        <f t="shared" si="8"/>
        <v>1.8194444444444444E-2</v>
      </c>
      <c r="Y18" s="18">
        <f t="shared" si="9"/>
        <v>0</v>
      </c>
      <c r="Z18" s="18">
        <f t="shared" si="10"/>
        <v>0</v>
      </c>
      <c r="AA18" s="18">
        <f t="shared" si="11"/>
        <v>0</v>
      </c>
      <c r="AB18" s="18">
        <f t="shared" si="12"/>
        <v>0</v>
      </c>
    </row>
    <row r="19" spans="1:28" x14ac:dyDescent="0.25">
      <c r="A19" s="16" t="s">
        <v>3</v>
      </c>
      <c r="B19" s="20" t="s">
        <v>12</v>
      </c>
      <c r="C19" s="20" t="s">
        <v>12</v>
      </c>
      <c r="D19" s="20" t="s">
        <v>71</v>
      </c>
      <c r="E19" s="20" t="s">
        <v>69</v>
      </c>
      <c r="F19" s="16" t="s">
        <v>6</v>
      </c>
      <c r="G19" s="16" t="s">
        <v>23</v>
      </c>
      <c r="H19" s="16">
        <f t="shared" si="13"/>
        <v>720</v>
      </c>
      <c r="I19" s="16">
        <v>60</v>
      </c>
      <c r="J19" s="16">
        <v>1</v>
      </c>
      <c r="K19" s="18">
        <v>0</v>
      </c>
      <c r="L19" s="18">
        <v>0</v>
      </c>
      <c r="M19" s="18">
        <v>921</v>
      </c>
      <c r="N19" s="18">
        <v>0</v>
      </c>
      <c r="O19" s="18">
        <v>0</v>
      </c>
      <c r="P19" s="18">
        <v>0</v>
      </c>
      <c r="Q19" s="18">
        <f t="shared" si="1"/>
        <v>0</v>
      </c>
      <c r="R19" s="18">
        <f t="shared" si="2"/>
        <v>0</v>
      </c>
      <c r="S19" s="18">
        <f t="shared" si="3"/>
        <v>15.35</v>
      </c>
      <c r="T19" s="18">
        <f t="shared" si="4"/>
        <v>0</v>
      </c>
      <c r="U19" s="18">
        <f t="shared" si="5"/>
        <v>0</v>
      </c>
      <c r="V19" s="18">
        <f t="shared" si="6"/>
        <v>0</v>
      </c>
      <c r="W19" s="18">
        <f t="shared" si="7"/>
        <v>0</v>
      </c>
      <c r="X19" s="18">
        <f t="shared" si="8"/>
        <v>0</v>
      </c>
      <c r="Y19" s="18">
        <f t="shared" si="9"/>
        <v>0.2558333333333333</v>
      </c>
      <c r="Z19" s="18">
        <f t="shared" si="10"/>
        <v>0</v>
      </c>
      <c r="AA19" s="18">
        <f t="shared" si="11"/>
        <v>0</v>
      </c>
      <c r="AB19" s="18">
        <f t="shared" si="12"/>
        <v>0</v>
      </c>
    </row>
    <row r="20" spans="1:28" x14ac:dyDescent="0.25">
      <c r="A20" s="16" t="s">
        <v>3</v>
      </c>
      <c r="B20" s="20" t="s">
        <v>12</v>
      </c>
      <c r="C20" s="20" t="s">
        <v>12</v>
      </c>
      <c r="D20" s="20" t="s">
        <v>111</v>
      </c>
      <c r="E20" s="20" t="s">
        <v>69</v>
      </c>
      <c r="F20" s="16" t="s">
        <v>6</v>
      </c>
      <c r="G20" s="16" t="s">
        <v>23</v>
      </c>
      <c r="H20" s="16">
        <f t="shared" si="13"/>
        <v>720</v>
      </c>
      <c r="I20" s="16">
        <v>60</v>
      </c>
      <c r="J20" s="16">
        <v>1</v>
      </c>
      <c r="K20" s="21">
        <v>1429</v>
      </c>
      <c r="L20" s="21">
        <v>415</v>
      </c>
      <c r="M20" s="18">
        <v>0</v>
      </c>
      <c r="N20" s="18">
        <v>0</v>
      </c>
      <c r="O20" s="18">
        <v>0</v>
      </c>
      <c r="P20" s="18">
        <v>0</v>
      </c>
      <c r="Q20" s="18">
        <f t="shared" si="1"/>
        <v>23.816666666666666</v>
      </c>
      <c r="R20" s="18">
        <f t="shared" si="2"/>
        <v>6.916666666666667</v>
      </c>
      <c r="S20" s="18">
        <f t="shared" si="3"/>
        <v>0</v>
      </c>
      <c r="T20" s="18">
        <f t="shared" si="4"/>
        <v>0</v>
      </c>
      <c r="U20" s="18">
        <f t="shared" si="5"/>
        <v>0</v>
      </c>
      <c r="V20" s="18">
        <f t="shared" si="6"/>
        <v>0</v>
      </c>
      <c r="W20" s="18">
        <f t="shared" si="7"/>
        <v>0.39694444444444443</v>
      </c>
      <c r="X20" s="18">
        <f t="shared" si="8"/>
        <v>0.11527777777777778</v>
      </c>
      <c r="Y20" s="18">
        <f t="shared" si="9"/>
        <v>0</v>
      </c>
      <c r="Z20" s="18">
        <f t="shared" si="10"/>
        <v>0</v>
      </c>
      <c r="AA20" s="18">
        <f t="shared" si="11"/>
        <v>0</v>
      </c>
      <c r="AB20" s="18">
        <f t="shared" si="12"/>
        <v>0</v>
      </c>
    </row>
    <row r="21" spans="1:28" x14ac:dyDescent="0.25">
      <c r="A21" s="16" t="s">
        <v>3</v>
      </c>
      <c r="B21" s="20" t="s">
        <v>12</v>
      </c>
      <c r="C21" s="20" t="s">
        <v>12</v>
      </c>
      <c r="D21" s="20" t="s">
        <v>133</v>
      </c>
      <c r="E21" s="20" t="s">
        <v>69</v>
      </c>
      <c r="F21" s="16" t="s">
        <v>6</v>
      </c>
      <c r="G21" s="16" t="s">
        <v>23</v>
      </c>
      <c r="H21" s="16">
        <f t="shared" si="13"/>
        <v>720</v>
      </c>
      <c r="I21" s="16">
        <v>60</v>
      </c>
      <c r="J21" s="16">
        <v>1</v>
      </c>
      <c r="K21" s="21">
        <v>1429</v>
      </c>
      <c r="L21" s="21">
        <v>415</v>
      </c>
      <c r="M21" s="18">
        <v>0</v>
      </c>
      <c r="N21" s="18">
        <v>0</v>
      </c>
      <c r="O21" s="18">
        <v>0</v>
      </c>
      <c r="P21" s="18">
        <v>0</v>
      </c>
      <c r="Q21" s="18">
        <f t="shared" si="1"/>
        <v>23.816666666666666</v>
      </c>
      <c r="R21" s="18">
        <f t="shared" si="2"/>
        <v>6.916666666666667</v>
      </c>
      <c r="S21" s="18">
        <f t="shared" si="3"/>
        <v>0</v>
      </c>
      <c r="T21" s="18">
        <f t="shared" si="4"/>
        <v>0</v>
      </c>
      <c r="U21" s="18">
        <f t="shared" si="5"/>
        <v>0</v>
      </c>
      <c r="V21" s="18">
        <f t="shared" si="6"/>
        <v>0</v>
      </c>
      <c r="W21" s="18">
        <f t="shared" si="7"/>
        <v>0.39694444444444443</v>
      </c>
      <c r="X21" s="18">
        <f t="shared" si="8"/>
        <v>0.11527777777777778</v>
      </c>
      <c r="Y21" s="18">
        <f t="shared" si="9"/>
        <v>0</v>
      </c>
      <c r="Z21" s="18">
        <f t="shared" si="10"/>
        <v>0</v>
      </c>
      <c r="AA21" s="18">
        <f t="shared" si="11"/>
        <v>0</v>
      </c>
      <c r="AB21" s="18">
        <f t="shared" si="12"/>
        <v>0</v>
      </c>
    </row>
    <row r="22" spans="1:28" x14ac:dyDescent="0.25">
      <c r="A22" s="16" t="s">
        <v>3</v>
      </c>
      <c r="B22" s="20" t="s">
        <v>13</v>
      </c>
      <c r="C22" s="20" t="s">
        <v>13</v>
      </c>
      <c r="D22" s="20" t="s">
        <v>71</v>
      </c>
      <c r="E22" s="20" t="s">
        <v>69</v>
      </c>
      <c r="F22" s="16" t="s">
        <v>6</v>
      </c>
      <c r="G22" s="16" t="s">
        <v>23</v>
      </c>
      <c r="H22" s="16">
        <f t="shared" si="13"/>
        <v>720</v>
      </c>
      <c r="I22" s="16">
        <v>60</v>
      </c>
      <c r="J22" s="16">
        <v>1</v>
      </c>
      <c r="K22" s="18">
        <v>0</v>
      </c>
      <c r="L22" s="18">
        <v>0</v>
      </c>
      <c r="M22" s="18">
        <v>1153</v>
      </c>
      <c r="N22" s="18">
        <v>0</v>
      </c>
      <c r="O22" s="18">
        <v>0</v>
      </c>
      <c r="P22" s="18">
        <v>0</v>
      </c>
      <c r="Q22" s="18">
        <f t="shared" si="1"/>
        <v>0</v>
      </c>
      <c r="R22" s="18">
        <f t="shared" si="2"/>
        <v>0</v>
      </c>
      <c r="S22" s="18">
        <f t="shared" si="3"/>
        <v>19.216666666666665</v>
      </c>
      <c r="T22" s="18">
        <f t="shared" si="4"/>
        <v>0</v>
      </c>
      <c r="U22" s="18">
        <f t="shared" si="5"/>
        <v>0</v>
      </c>
      <c r="V22" s="18">
        <f t="shared" si="6"/>
        <v>0</v>
      </c>
      <c r="W22" s="18">
        <f t="shared" si="7"/>
        <v>0</v>
      </c>
      <c r="X22" s="18">
        <f t="shared" si="8"/>
        <v>0</v>
      </c>
      <c r="Y22" s="18">
        <f t="shared" si="9"/>
        <v>0.32027777777777777</v>
      </c>
      <c r="Z22" s="18">
        <f t="shared" si="10"/>
        <v>0</v>
      </c>
      <c r="AA22" s="18">
        <f t="shared" si="11"/>
        <v>0</v>
      </c>
      <c r="AB22" s="18">
        <f t="shared" si="12"/>
        <v>0</v>
      </c>
    </row>
    <row r="23" spans="1:28" x14ac:dyDescent="0.25">
      <c r="A23" s="16" t="s">
        <v>3</v>
      </c>
      <c r="B23" s="20" t="s">
        <v>13</v>
      </c>
      <c r="C23" s="20" t="s">
        <v>13</v>
      </c>
      <c r="D23" s="20" t="s">
        <v>112</v>
      </c>
      <c r="E23" s="20" t="s">
        <v>69</v>
      </c>
      <c r="F23" s="16" t="s">
        <v>6</v>
      </c>
      <c r="G23" s="16" t="s">
        <v>23</v>
      </c>
      <c r="H23" s="16">
        <f t="shared" si="13"/>
        <v>720</v>
      </c>
      <c r="I23" s="16">
        <v>60</v>
      </c>
      <c r="J23" s="16">
        <v>1</v>
      </c>
      <c r="K23" s="21">
        <v>1786</v>
      </c>
      <c r="L23" s="21">
        <v>518.5</v>
      </c>
      <c r="M23" s="18">
        <v>0</v>
      </c>
      <c r="N23" s="18">
        <v>0</v>
      </c>
      <c r="O23" s="18">
        <v>0</v>
      </c>
      <c r="P23" s="18">
        <v>0</v>
      </c>
      <c r="Q23" s="18">
        <f t="shared" si="1"/>
        <v>29.766666666666666</v>
      </c>
      <c r="R23" s="18">
        <f t="shared" si="2"/>
        <v>8.6416666666666675</v>
      </c>
      <c r="S23" s="18">
        <f t="shared" si="3"/>
        <v>0</v>
      </c>
      <c r="T23" s="18">
        <f t="shared" si="4"/>
        <v>0</v>
      </c>
      <c r="U23" s="18">
        <f t="shared" si="5"/>
        <v>0</v>
      </c>
      <c r="V23" s="18">
        <f t="shared" si="6"/>
        <v>0</v>
      </c>
      <c r="W23" s="18">
        <f t="shared" si="7"/>
        <v>0.49611111111111111</v>
      </c>
      <c r="X23" s="18">
        <f t="shared" si="8"/>
        <v>0.14402777777777778</v>
      </c>
      <c r="Y23" s="18">
        <f t="shared" si="9"/>
        <v>0</v>
      </c>
      <c r="Z23" s="18">
        <f t="shared" si="10"/>
        <v>0</v>
      </c>
      <c r="AA23" s="18">
        <f t="shared" si="11"/>
        <v>0</v>
      </c>
      <c r="AB23" s="18">
        <f t="shared" si="12"/>
        <v>0</v>
      </c>
    </row>
    <row r="24" spans="1:28" x14ac:dyDescent="0.25">
      <c r="A24" s="16" t="s">
        <v>3</v>
      </c>
      <c r="B24" s="20" t="s">
        <v>13</v>
      </c>
      <c r="C24" s="20" t="s">
        <v>13</v>
      </c>
      <c r="D24" s="20" t="s">
        <v>134</v>
      </c>
      <c r="E24" s="20" t="s">
        <v>69</v>
      </c>
      <c r="F24" s="16" t="s">
        <v>6</v>
      </c>
      <c r="G24" s="16" t="s">
        <v>23</v>
      </c>
      <c r="H24" s="16">
        <f t="shared" si="13"/>
        <v>720</v>
      </c>
      <c r="I24" s="16">
        <v>60</v>
      </c>
      <c r="J24" s="16">
        <v>1</v>
      </c>
      <c r="K24" s="21">
        <v>1786</v>
      </c>
      <c r="L24" s="21">
        <v>518.5</v>
      </c>
      <c r="M24" s="18">
        <v>0</v>
      </c>
      <c r="N24" s="18">
        <v>0</v>
      </c>
      <c r="O24" s="18">
        <v>0</v>
      </c>
      <c r="P24" s="18">
        <v>0</v>
      </c>
      <c r="Q24" s="18">
        <f t="shared" si="1"/>
        <v>29.766666666666666</v>
      </c>
      <c r="R24" s="18">
        <f t="shared" si="2"/>
        <v>8.6416666666666675</v>
      </c>
      <c r="S24" s="18">
        <f t="shared" si="3"/>
        <v>0</v>
      </c>
      <c r="T24" s="18">
        <f t="shared" si="4"/>
        <v>0</v>
      </c>
      <c r="U24" s="18">
        <f t="shared" si="5"/>
        <v>0</v>
      </c>
      <c r="V24" s="18">
        <f t="shared" si="6"/>
        <v>0</v>
      </c>
      <c r="W24" s="18">
        <f t="shared" si="7"/>
        <v>0.49611111111111111</v>
      </c>
      <c r="X24" s="18">
        <f t="shared" si="8"/>
        <v>0.14402777777777778</v>
      </c>
      <c r="Y24" s="18">
        <f t="shared" si="9"/>
        <v>0</v>
      </c>
      <c r="Z24" s="18">
        <f t="shared" si="10"/>
        <v>0</v>
      </c>
      <c r="AA24" s="18">
        <f t="shared" si="11"/>
        <v>0</v>
      </c>
      <c r="AB24" s="18">
        <f t="shared" si="12"/>
        <v>0</v>
      </c>
    </row>
    <row r="25" spans="1:28" x14ac:dyDescent="0.25">
      <c r="A25" s="16" t="s">
        <v>3</v>
      </c>
      <c r="B25" s="20" t="s">
        <v>9</v>
      </c>
      <c r="C25" s="20" t="s">
        <v>9</v>
      </c>
      <c r="D25" s="20" t="s">
        <v>71</v>
      </c>
      <c r="E25" s="20" t="s">
        <v>69</v>
      </c>
      <c r="F25" s="16" t="s">
        <v>6</v>
      </c>
      <c r="G25" s="16" t="s">
        <v>23</v>
      </c>
      <c r="H25" s="16">
        <f t="shared" si="13"/>
        <v>720</v>
      </c>
      <c r="I25" s="16">
        <v>60</v>
      </c>
      <c r="J25" s="16">
        <v>1</v>
      </c>
      <c r="K25" s="18">
        <v>0</v>
      </c>
      <c r="L25" s="18">
        <v>0</v>
      </c>
      <c r="M25" s="18">
        <v>461</v>
      </c>
      <c r="N25" s="18">
        <v>69</v>
      </c>
      <c r="O25" s="18">
        <v>0</v>
      </c>
      <c r="P25" s="18">
        <v>0</v>
      </c>
      <c r="Q25" s="18">
        <f t="shared" si="1"/>
        <v>0</v>
      </c>
      <c r="R25" s="18">
        <f t="shared" si="2"/>
        <v>0</v>
      </c>
      <c r="S25" s="18">
        <f t="shared" si="3"/>
        <v>7.6833333333333336</v>
      </c>
      <c r="T25" s="18">
        <f t="shared" si="4"/>
        <v>1.1499999999999999</v>
      </c>
      <c r="U25" s="18">
        <f t="shared" si="5"/>
        <v>0</v>
      </c>
      <c r="V25" s="18">
        <f t="shared" si="6"/>
        <v>0</v>
      </c>
      <c r="W25" s="18">
        <f t="shared" si="7"/>
        <v>0</v>
      </c>
      <c r="X25" s="18">
        <f t="shared" si="8"/>
        <v>0</v>
      </c>
      <c r="Y25" s="18">
        <f t="shared" si="9"/>
        <v>0.12805555555555556</v>
      </c>
      <c r="Z25" s="18">
        <f t="shared" si="10"/>
        <v>1.9166666666666665E-2</v>
      </c>
      <c r="AA25" s="18">
        <f t="shared" si="11"/>
        <v>0</v>
      </c>
      <c r="AB25" s="18">
        <f t="shared" si="12"/>
        <v>0</v>
      </c>
    </row>
    <row r="26" spans="1:28" x14ac:dyDescent="0.25">
      <c r="A26" s="16" t="s">
        <v>3</v>
      </c>
      <c r="B26" s="20" t="s">
        <v>9</v>
      </c>
      <c r="C26" s="20" t="s">
        <v>9</v>
      </c>
      <c r="D26" s="20" t="s">
        <v>108</v>
      </c>
      <c r="E26" s="20" t="s">
        <v>69</v>
      </c>
      <c r="F26" s="16" t="s">
        <v>6</v>
      </c>
      <c r="G26" s="16" t="s">
        <v>23</v>
      </c>
      <c r="H26" s="16">
        <f t="shared" si="13"/>
        <v>720</v>
      </c>
      <c r="I26" s="16">
        <v>60</v>
      </c>
      <c r="J26" s="16">
        <v>1</v>
      </c>
      <c r="K26" s="21">
        <v>680</v>
      </c>
      <c r="L26" s="21">
        <v>207.5</v>
      </c>
      <c r="M26" s="18">
        <v>0</v>
      </c>
      <c r="N26" s="18">
        <v>0</v>
      </c>
      <c r="O26" s="18">
        <v>0</v>
      </c>
      <c r="P26" s="18">
        <v>0</v>
      </c>
      <c r="Q26" s="18">
        <f t="shared" si="1"/>
        <v>11.333333333333334</v>
      </c>
      <c r="R26" s="18">
        <f t="shared" si="2"/>
        <v>3.4583333333333335</v>
      </c>
      <c r="S26" s="18">
        <f t="shared" si="3"/>
        <v>0</v>
      </c>
      <c r="T26" s="18">
        <f t="shared" si="4"/>
        <v>0</v>
      </c>
      <c r="U26" s="18">
        <f t="shared" si="5"/>
        <v>0</v>
      </c>
      <c r="V26" s="18">
        <f t="shared" si="6"/>
        <v>0</v>
      </c>
      <c r="W26" s="18">
        <f t="shared" si="7"/>
        <v>0.18888888888888891</v>
      </c>
      <c r="X26" s="18">
        <f t="shared" si="8"/>
        <v>5.7638888888888892E-2</v>
      </c>
      <c r="Y26" s="18">
        <f t="shared" si="9"/>
        <v>0</v>
      </c>
      <c r="Z26" s="18">
        <f t="shared" si="10"/>
        <v>0</v>
      </c>
      <c r="AA26" s="18">
        <f t="shared" si="11"/>
        <v>0</v>
      </c>
      <c r="AB26" s="18">
        <f t="shared" si="12"/>
        <v>0</v>
      </c>
    </row>
    <row r="27" spans="1:28" x14ac:dyDescent="0.25">
      <c r="A27" s="16" t="s">
        <v>3</v>
      </c>
      <c r="B27" s="20" t="s">
        <v>9</v>
      </c>
      <c r="C27" s="20" t="s">
        <v>9</v>
      </c>
      <c r="D27" s="20" t="s">
        <v>130</v>
      </c>
      <c r="E27" s="20" t="s">
        <v>69</v>
      </c>
      <c r="F27" s="16" t="s">
        <v>6</v>
      </c>
      <c r="G27" s="16" t="s">
        <v>23</v>
      </c>
      <c r="H27" s="16">
        <f t="shared" si="13"/>
        <v>720</v>
      </c>
      <c r="I27" s="16">
        <v>60</v>
      </c>
      <c r="J27" s="16">
        <v>1</v>
      </c>
      <c r="K27" s="21">
        <v>680</v>
      </c>
      <c r="L27" s="21">
        <v>207.5</v>
      </c>
      <c r="M27" s="18">
        <v>0</v>
      </c>
      <c r="N27" s="18">
        <v>0</v>
      </c>
      <c r="O27" s="18">
        <v>0</v>
      </c>
      <c r="P27" s="18">
        <v>0</v>
      </c>
      <c r="Q27" s="18">
        <f t="shared" si="1"/>
        <v>11.333333333333334</v>
      </c>
      <c r="R27" s="18">
        <f t="shared" si="2"/>
        <v>3.4583333333333335</v>
      </c>
      <c r="S27" s="18">
        <f t="shared" si="3"/>
        <v>0</v>
      </c>
      <c r="T27" s="18">
        <f t="shared" si="4"/>
        <v>0</v>
      </c>
      <c r="U27" s="18">
        <f t="shared" si="5"/>
        <v>0</v>
      </c>
      <c r="V27" s="18">
        <f t="shared" si="6"/>
        <v>0</v>
      </c>
      <c r="W27" s="18">
        <f t="shared" si="7"/>
        <v>0.18888888888888891</v>
      </c>
      <c r="X27" s="18">
        <f t="shared" si="8"/>
        <v>5.7638888888888892E-2</v>
      </c>
      <c r="Y27" s="18">
        <f t="shared" si="9"/>
        <v>0</v>
      </c>
      <c r="Z27" s="18">
        <f t="shared" si="10"/>
        <v>0</v>
      </c>
      <c r="AA27" s="18">
        <f t="shared" si="11"/>
        <v>0</v>
      </c>
      <c r="AB27" s="18">
        <f t="shared" si="12"/>
        <v>0</v>
      </c>
    </row>
    <row r="28" spans="1:28" x14ac:dyDescent="0.25">
      <c r="A28" s="16" t="s">
        <v>3</v>
      </c>
      <c r="B28" s="20" t="s">
        <v>10</v>
      </c>
      <c r="C28" s="20" t="s">
        <v>10</v>
      </c>
      <c r="D28" s="20" t="s">
        <v>71</v>
      </c>
      <c r="E28" s="20" t="s">
        <v>69</v>
      </c>
      <c r="F28" s="16" t="s">
        <v>6</v>
      </c>
      <c r="G28" s="16" t="s">
        <v>23</v>
      </c>
      <c r="H28" s="16">
        <f t="shared" si="13"/>
        <v>720</v>
      </c>
      <c r="I28" s="16">
        <v>60</v>
      </c>
      <c r="J28" s="16">
        <v>1</v>
      </c>
      <c r="K28" s="18">
        <v>0</v>
      </c>
      <c r="L28" s="18">
        <v>0</v>
      </c>
      <c r="M28" s="18">
        <v>1297</v>
      </c>
      <c r="N28" s="18">
        <v>0</v>
      </c>
      <c r="O28" s="18">
        <v>194</v>
      </c>
      <c r="P28" s="18">
        <v>0</v>
      </c>
      <c r="Q28" s="18">
        <f t="shared" si="1"/>
        <v>0</v>
      </c>
      <c r="R28" s="18">
        <f t="shared" si="2"/>
        <v>0</v>
      </c>
      <c r="S28" s="18">
        <f t="shared" si="3"/>
        <v>21.616666666666667</v>
      </c>
      <c r="T28" s="18">
        <f t="shared" si="4"/>
        <v>0</v>
      </c>
      <c r="U28" s="18">
        <f t="shared" si="5"/>
        <v>3.2333333333333334</v>
      </c>
      <c r="V28" s="18">
        <f t="shared" si="6"/>
        <v>0</v>
      </c>
      <c r="W28" s="18">
        <f t="shared" si="7"/>
        <v>0</v>
      </c>
      <c r="X28" s="18">
        <f t="shared" si="8"/>
        <v>0</v>
      </c>
      <c r="Y28" s="18">
        <f t="shared" si="9"/>
        <v>0.36027777777777781</v>
      </c>
      <c r="Z28" s="18">
        <f t="shared" si="10"/>
        <v>0</v>
      </c>
      <c r="AA28" s="18">
        <f t="shared" si="11"/>
        <v>5.3888888888888889E-2</v>
      </c>
      <c r="AB28" s="18">
        <f t="shared" si="12"/>
        <v>0</v>
      </c>
    </row>
    <row r="29" spans="1:28" x14ac:dyDescent="0.25">
      <c r="A29" s="16" t="s">
        <v>3</v>
      </c>
      <c r="B29" s="20" t="s">
        <v>10</v>
      </c>
      <c r="C29" s="20" t="s">
        <v>10</v>
      </c>
      <c r="D29" s="20" t="s">
        <v>109</v>
      </c>
      <c r="E29" s="20" t="s">
        <v>69</v>
      </c>
      <c r="F29" s="16" t="s">
        <v>6</v>
      </c>
      <c r="G29" s="16" t="s">
        <v>23</v>
      </c>
      <c r="H29" s="16">
        <f t="shared" si="13"/>
        <v>720</v>
      </c>
      <c r="I29" s="16">
        <v>60</v>
      </c>
      <c r="J29" s="16">
        <v>1</v>
      </c>
      <c r="K29" s="21">
        <v>1912.5</v>
      </c>
      <c r="L29" s="21">
        <v>583.5</v>
      </c>
      <c r="M29" s="18">
        <v>0</v>
      </c>
      <c r="N29" s="18">
        <v>0</v>
      </c>
      <c r="O29" s="18">
        <v>0</v>
      </c>
      <c r="P29" s="18">
        <v>0</v>
      </c>
      <c r="Q29" s="18">
        <f t="shared" si="1"/>
        <v>31.875</v>
      </c>
      <c r="R29" s="18">
        <f t="shared" si="2"/>
        <v>9.7249999999999996</v>
      </c>
      <c r="S29" s="18">
        <f t="shared" si="3"/>
        <v>0</v>
      </c>
      <c r="T29" s="18">
        <f t="shared" si="4"/>
        <v>0</v>
      </c>
      <c r="U29" s="18">
        <f t="shared" si="5"/>
        <v>0</v>
      </c>
      <c r="V29" s="18">
        <f t="shared" si="6"/>
        <v>0</v>
      </c>
      <c r="W29" s="18">
        <f t="shared" si="7"/>
        <v>0.53125</v>
      </c>
      <c r="X29" s="18">
        <f t="shared" si="8"/>
        <v>0.16208333333333333</v>
      </c>
      <c r="Y29" s="18">
        <f t="shared" si="9"/>
        <v>0</v>
      </c>
      <c r="Z29" s="18">
        <f t="shared" si="10"/>
        <v>0</v>
      </c>
      <c r="AA29" s="18">
        <f t="shared" si="11"/>
        <v>0</v>
      </c>
      <c r="AB29" s="18">
        <f t="shared" si="12"/>
        <v>0</v>
      </c>
    </row>
    <row r="30" spans="1:28" x14ac:dyDescent="0.25">
      <c r="A30" s="16" t="s">
        <v>3</v>
      </c>
      <c r="B30" s="20" t="s">
        <v>10</v>
      </c>
      <c r="C30" s="20" t="s">
        <v>10</v>
      </c>
      <c r="D30" s="20" t="s">
        <v>131</v>
      </c>
      <c r="E30" s="20" t="s">
        <v>69</v>
      </c>
      <c r="F30" s="16" t="s">
        <v>6</v>
      </c>
      <c r="G30" s="16" t="s">
        <v>23</v>
      </c>
      <c r="H30" s="16">
        <f t="shared" si="13"/>
        <v>720</v>
      </c>
      <c r="I30" s="16">
        <v>60</v>
      </c>
      <c r="J30" s="16">
        <v>1</v>
      </c>
      <c r="K30" s="21">
        <v>1912.5</v>
      </c>
      <c r="L30" s="21">
        <v>583.5</v>
      </c>
      <c r="M30" s="18">
        <v>0</v>
      </c>
      <c r="N30" s="18">
        <v>0</v>
      </c>
      <c r="O30" s="18">
        <v>0</v>
      </c>
      <c r="P30" s="18">
        <v>0</v>
      </c>
      <c r="Q30" s="18">
        <f t="shared" si="1"/>
        <v>31.875</v>
      </c>
      <c r="R30" s="18">
        <f t="shared" si="2"/>
        <v>9.7249999999999996</v>
      </c>
      <c r="S30" s="18">
        <f t="shared" si="3"/>
        <v>0</v>
      </c>
      <c r="T30" s="18">
        <f t="shared" si="4"/>
        <v>0</v>
      </c>
      <c r="U30" s="18">
        <f t="shared" si="5"/>
        <v>0</v>
      </c>
      <c r="V30" s="18">
        <f t="shared" si="6"/>
        <v>0</v>
      </c>
      <c r="W30" s="18">
        <f t="shared" si="7"/>
        <v>0.53125</v>
      </c>
      <c r="X30" s="18">
        <f t="shared" si="8"/>
        <v>0.16208333333333333</v>
      </c>
      <c r="Y30" s="18">
        <f t="shared" si="9"/>
        <v>0</v>
      </c>
      <c r="Z30" s="18">
        <f t="shared" si="10"/>
        <v>0</v>
      </c>
      <c r="AA30" s="18">
        <f t="shared" si="11"/>
        <v>0</v>
      </c>
      <c r="AB30" s="18">
        <f t="shared" si="12"/>
        <v>0</v>
      </c>
    </row>
    <row r="31" spans="1:28" x14ac:dyDescent="0.25">
      <c r="A31" s="16" t="s">
        <v>3</v>
      </c>
      <c r="B31" s="20" t="s">
        <v>11</v>
      </c>
      <c r="C31" s="20" t="s">
        <v>11</v>
      </c>
      <c r="D31" s="20" t="s">
        <v>71</v>
      </c>
      <c r="E31" s="20" t="s">
        <v>69</v>
      </c>
      <c r="F31" s="16" t="s">
        <v>6</v>
      </c>
      <c r="G31" s="16" t="s">
        <v>23</v>
      </c>
      <c r="H31" s="16">
        <f t="shared" si="13"/>
        <v>720</v>
      </c>
      <c r="I31" s="16">
        <v>60</v>
      </c>
      <c r="J31" s="16">
        <v>1</v>
      </c>
      <c r="K31" s="18">
        <v>0</v>
      </c>
      <c r="L31" s="18">
        <v>0</v>
      </c>
      <c r="M31" s="18">
        <v>415</v>
      </c>
      <c r="N31" s="18">
        <v>0</v>
      </c>
      <c r="O31" s="18">
        <v>0</v>
      </c>
      <c r="P31" s="18">
        <v>0</v>
      </c>
      <c r="Q31" s="18">
        <f t="shared" si="1"/>
        <v>0</v>
      </c>
      <c r="R31" s="18">
        <f t="shared" si="2"/>
        <v>0</v>
      </c>
      <c r="S31" s="18">
        <f t="shared" si="3"/>
        <v>6.916666666666667</v>
      </c>
      <c r="T31" s="18">
        <f t="shared" si="4"/>
        <v>0</v>
      </c>
      <c r="U31" s="18">
        <f t="shared" si="5"/>
        <v>0</v>
      </c>
      <c r="V31" s="18">
        <f t="shared" si="6"/>
        <v>0</v>
      </c>
      <c r="W31" s="18">
        <f t="shared" si="7"/>
        <v>0</v>
      </c>
      <c r="X31" s="18">
        <f t="shared" si="8"/>
        <v>0</v>
      </c>
      <c r="Y31" s="18">
        <f t="shared" si="9"/>
        <v>0.11527777777777778</v>
      </c>
      <c r="Z31" s="18">
        <f t="shared" si="10"/>
        <v>0</v>
      </c>
      <c r="AA31" s="18">
        <f t="shared" si="11"/>
        <v>0</v>
      </c>
      <c r="AB31" s="18">
        <f t="shared" si="12"/>
        <v>0</v>
      </c>
    </row>
    <row r="32" spans="1:28" x14ac:dyDescent="0.25">
      <c r="A32" s="16" t="s">
        <v>3</v>
      </c>
      <c r="B32" s="20" t="s">
        <v>11</v>
      </c>
      <c r="C32" s="20" t="s">
        <v>11</v>
      </c>
      <c r="D32" s="20" t="s">
        <v>102</v>
      </c>
      <c r="E32" s="20" t="s">
        <v>69</v>
      </c>
      <c r="F32" s="16" t="s">
        <v>6</v>
      </c>
      <c r="G32" s="16" t="s">
        <v>23</v>
      </c>
      <c r="H32" s="16">
        <f t="shared" si="13"/>
        <v>720</v>
      </c>
      <c r="I32" s="16">
        <v>60</v>
      </c>
      <c r="J32" s="16">
        <v>1</v>
      </c>
      <c r="K32" s="18">
        <v>0</v>
      </c>
      <c r="L32" s="18">
        <v>0</v>
      </c>
      <c r="M32" s="18">
        <v>0</v>
      </c>
      <c r="N32" s="18">
        <v>0</v>
      </c>
      <c r="O32" s="18">
        <v>0</v>
      </c>
      <c r="P32" s="18">
        <v>277</v>
      </c>
      <c r="Q32" s="18">
        <f t="shared" si="1"/>
        <v>0</v>
      </c>
      <c r="R32" s="18">
        <f t="shared" si="2"/>
        <v>0</v>
      </c>
      <c r="S32" s="18">
        <f t="shared" si="3"/>
        <v>0</v>
      </c>
      <c r="T32" s="18">
        <f t="shared" si="4"/>
        <v>0</v>
      </c>
      <c r="U32" s="18">
        <f t="shared" si="5"/>
        <v>0</v>
      </c>
      <c r="V32" s="18">
        <f t="shared" si="6"/>
        <v>4.6166666666666663</v>
      </c>
      <c r="W32" s="18">
        <f t="shared" si="7"/>
        <v>0</v>
      </c>
      <c r="X32" s="18">
        <f t="shared" si="8"/>
        <v>0</v>
      </c>
      <c r="Y32" s="18">
        <f t="shared" si="9"/>
        <v>0</v>
      </c>
      <c r="Z32" s="18">
        <f t="shared" si="10"/>
        <v>0</v>
      </c>
      <c r="AA32" s="18">
        <f t="shared" si="11"/>
        <v>0</v>
      </c>
      <c r="AB32" s="18">
        <f t="shared" si="12"/>
        <v>7.694444444444444E-2</v>
      </c>
    </row>
    <row r="33" spans="1:28" x14ac:dyDescent="0.25">
      <c r="A33" s="16" t="s">
        <v>3</v>
      </c>
      <c r="B33" s="20" t="s">
        <v>11</v>
      </c>
      <c r="C33" s="20" t="s">
        <v>11</v>
      </c>
      <c r="D33" s="20" t="s">
        <v>110</v>
      </c>
      <c r="E33" s="20" t="s">
        <v>69</v>
      </c>
      <c r="F33" s="16" t="s">
        <v>6</v>
      </c>
      <c r="G33" s="16" t="s">
        <v>23</v>
      </c>
      <c r="H33" s="16">
        <f t="shared" si="13"/>
        <v>720</v>
      </c>
      <c r="I33" s="16">
        <v>60</v>
      </c>
      <c r="J33" s="16">
        <v>1</v>
      </c>
      <c r="K33" s="21">
        <v>1074</v>
      </c>
      <c r="L33" s="21">
        <v>312</v>
      </c>
      <c r="M33" s="18">
        <v>0</v>
      </c>
      <c r="N33" s="18">
        <v>0</v>
      </c>
      <c r="O33" s="18">
        <v>0</v>
      </c>
      <c r="P33" s="18">
        <v>0</v>
      </c>
      <c r="Q33" s="18">
        <f t="shared" si="1"/>
        <v>17.899999999999999</v>
      </c>
      <c r="R33" s="18">
        <f t="shared" si="2"/>
        <v>5.2</v>
      </c>
      <c r="S33" s="18">
        <f t="shared" si="3"/>
        <v>0</v>
      </c>
      <c r="T33" s="18">
        <f t="shared" si="4"/>
        <v>0</v>
      </c>
      <c r="U33" s="18">
        <f t="shared" si="5"/>
        <v>0</v>
      </c>
      <c r="V33" s="18">
        <f t="shared" si="6"/>
        <v>0</v>
      </c>
      <c r="W33" s="18">
        <f t="shared" si="7"/>
        <v>0.29833333333333328</v>
      </c>
      <c r="X33" s="18">
        <f t="shared" si="8"/>
        <v>8.666666666666667E-2</v>
      </c>
      <c r="Y33" s="18">
        <f t="shared" si="9"/>
        <v>0</v>
      </c>
      <c r="Z33" s="18">
        <f t="shared" si="10"/>
        <v>0</v>
      </c>
      <c r="AA33" s="18">
        <f t="shared" si="11"/>
        <v>0</v>
      </c>
      <c r="AB33" s="18">
        <f t="shared" si="12"/>
        <v>0</v>
      </c>
    </row>
    <row r="34" spans="1:28" x14ac:dyDescent="0.25">
      <c r="A34" s="16" t="s">
        <v>3</v>
      </c>
      <c r="B34" s="20" t="s">
        <v>11</v>
      </c>
      <c r="C34" s="20" t="s">
        <v>11</v>
      </c>
      <c r="D34" s="20" t="s">
        <v>132</v>
      </c>
      <c r="E34" s="20" t="s">
        <v>69</v>
      </c>
      <c r="F34" s="16" t="s">
        <v>6</v>
      </c>
      <c r="G34" s="16" t="s">
        <v>23</v>
      </c>
      <c r="H34" s="16">
        <f t="shared" si="13"/>
        <v>720</v>
      </c>
      <c r="I34" s="16">
        <v>60</v>
      </c>
      <c r="J34" s="16">
        <v>1</v>
      </c>
      <c r="K34" s="21">
        <v>1074</v>
      </c>
      <c r="L34" s="21">
        <v>312</v>
      </c>
      <c r="M34" s="18">
        <v>0</v>
      </c>
      <c r="N34" s="18">
        <v>0</v>
      </c>
      <c r="O34" s="18">
        <v>0</v>
      </c>
      <c r="P34" s="18">
        <v>0</v>
      </c>
      <c r="Q34" s="18">
        <f t="shared" ref="Q34:Q65" si="14">K34/$I34</f>
        <v>17.899999999999999</v>
      </c>
      <c r="R34" s="18">
        <f t="shared" ref="R34:R65" si="15">L34/$I34</f>
        <v>5.2</v>
      </c>
      <c r="S34" s="18">
        <f t="shared" ref="S34:S65" si="16">M34/$I34</f>
        <v>0</v>
      </c>
      <c r="T34" s="18">
        <f t="shared" ref="T34:T65" si="17">N34/$I34</f>
        <v>0</v>
      </c>
      <c r="U34" s="18">
        <f t="shared" ref="U34:U65" si="18">O34/$I34</f>
        <v>0</v>
      </c>
      <c r="V34" s="18">
        <f t="shared" ref="V34:V65" si="19">P34/$I34</f>
        <v>0</v>
      </c>
      <c r="W34" s="18">
        <f t="shared" ref="W34:W65" si="20">Q34/$I34</f>
        <v>0.29833333333333328</v>
      </c>
      <c r="X34" s="18">
        <f t="shared" ref="X34:X65" si="21">R34/$I34</f>
        <v>8.666666666666667E-2</v>
      </c>
      <c r="Y34" s="18">
        <f t="shared" ref="Y34:Y65" si="22">S34/$I34</f>
        <v>0</v>
      </c>
      <c r="Z34" s="18">
        <f t="shared" ref="Z34:Z65" si="23">T34/$I34</f>
        <v>0</v>
      </c>
      <c r="AA34" s="18">
        <f t="shared" ref="AA34:AA65" si="24">U34/$I34</f>
        <v>0</v>
      </c>
      <c r="AB34" s="18">
        <f t="shared" ref="AB34:AB65" si="25">V34/$I34</f>
        <v>0</v>
      </c>
    </row>
    <row r="35" spans="1:28" x14ac:dyDescent="0.25">
      <c r="A35" s="16" t="s">
        <v>3</v>
      </c>
      <c r="B35" s="20" t="s">
        <v>20</v>
      </c>
      <c r="C35" s="20" t="s">
        <v>20</v>
      </c>
      <c r="D35" s="20" t="s">
        <v>71</v>
      </c>
      <c r="E35" s="20" t="s">
        <v>68</v>
      </c>
      <c r="F35" s="16" t="s">
        <v>8</v>
      </c>
      <c r="G35" s="16" t="s">
        <v>26</v>
      </c>
      <c r="H35" s="16">
        <f t="shared" ref="H35:H47" si="26">I35*30</f>
        <v>2400</v>
      </c>
      <c r="I35" s="16">
        <v>80</v>
      </c>
      <c r="J35" s="16">
        <v>1</v>
      </c>
      <c r="K35" s="18">
        <v>0</v>
      </c>
      <c r="L35" s="18">
        <v>0</v>
      </c>
      <c r="M35" s="18">
        <v>3933</v>
      </c>
      <c r="N35" s="18">
        <v>7200</v>
      </c>
      <c r="O35" s="18">
        <v>0</v>
      </c>
      <c r="P35" s="18">
        <v>0</v>
      </c>
      <c r="Q35" s="18">
        <f t="shared" si="14"/>
        <v>0</v>
      </c>
      <c r="R35" s="18">
        <f t="shared" si="15"/>
        <v>0</v>
      </c>
      <c r="S35" s="18">
        <f t="shared" si="16"/>
        <v>49.162500000000001</v>
      </c>
      <c r="T35" s="18">
        <f t="shared" si="17"/>
        <v>90</v>
      </c>
      <c r="U35" s="18">
        <f t="shared" si="18"/>
        <v>0</v>
      </c>
      <c r="V35" s="18">
        <f t="shared" si="19"/>
        <v>0</v>
      </c>
      <c r="W35" s="18">
        <f t="shared" si="20"/>
        <v>0</v>
      </c>
      <c r="X35" s="18">
        <f t="shared" si="21"/>
        <v>0</v>
      </c>
      <c r="Y35" s="18">
        <f t="shared" si="22"/>
        <v>0.61453124999999997</v>
      </c>
      <c r="Z35" s="18">
        <f t="shared" si="23"/>
        <v>1.125</v>
      </c>
      <c r="AA35" s="18">
        <f t="shared" si="24"/>
        <v>0</v>
      </c>
      <c r="AB35" s="18">
        <f t="shared" si="25"/>
        <v>0</v>
      </c>
    </row>
    <row r="36" spans="1:28" x14ac:dyDescent="0.25">
      <c r="A36" s="16" t="s">
        <v>3</v>
      </c>
      <c r="B36" s="20" t="s">
        <v>20</v>
      </c>
      <c r="C36" s="20" t="s">
        <v>20</v>
      </c>
      <c r="D36" s="20" t="s">
        <v>101</v>
      </c>
      <c r="E36" s="20" t="s">
        <v>68</v>
      </c>
      <c r="F36" s="16" t="s">
        <v>8</v>
      </c>
      <c r="G36" s="16" t="s">
        <v>26</v>
      </c>
      <c r="H36" s="16">
        <f t="shared" si="26"/>
        <v>2400</v>
      </c>
      <c r="I36" s="16">
        <v>80</v>
      </c>
      <c r="J36" s="16">
        <v>1</v>
      </c>
      <c r="K36" s="18">
        <v>0</v>
      </c>
      <c r="L36" s="18">
        <v>0</v>
      </c>
      <c r="M36" s="18">
        <v>0</v>
      </c>
      <c r="N36" s="18">
        <v>0</v>
      </c>
      <c r="O36" s="18">
        <v>0</v>
      </c>
      <c r="P36" s="18">
        <v>104</v>
      </c>
      <c r="Q36" s="18">
        <f t="shared" si="14"/>
        <v>0</v>
      </c>
      <c r="R36" s="18">
        <f t="shared" si="15"/>
        <v>0</v>
      </c>
      <c r="S36" s="18">
        <f t="shared" si="16"/>
        <v>0</v>
      </c>
      <c r="T36" s="18">
        <f t="shared" si="17"/>
        <v>0</v>
      </c>
      <c r="U36" s="18">
        <f t="shared" si="18"/>
        <v>0</v>
      </c>
      <c r="V36" s="18">
        <f t="shared" si="19"/>
        <v>1.3</v>
      </c>
      <c r="W36" s="18">
        <f t="shared" si="20"/>
        <v>0</v>
      </c>
      <c r="X36" s="18">
        <f t="shared" si="21"/>
        <v>0</v>
      </c>
      <c r="Y36" s="18">
        <f t="shared" si="22"/>
        <v>0</v>
      </c>
      <c r="Z36" s="18">
        <f t="shared" si="23"/>
        <v>0</v>
      </c>
      <c r="AA36" s="18">
        <f t="shared" si="24"/>
        <v>0</v>
      </c>
      <c r="AB36" s="18">
        <f t="shared" si="25"/>
        <v>1.6250000000000001E-2</v>
      </c>
    </row>
    <row r="37" spans="1:28" x14ac:dyDescent="0.25">
      <c r="A37" s="16" t="s">
        <v>3</v>
      </c>
      <c r="B37" s="20" t="s">
        <v>20</v>
      </c>
      <c r="C37" s="20" t="s">
        <v>20</v>
      </c>
      <c r="D37" s="20" t="s">
        <v>105</v>
      </c>
      <c r="E37" s="20" t="s">
        <v>68</v>
      </c>
      <c r="F37" s="16" t="s">
        <v>8</v>
      </c>
      <c r="G37" s="16" t="s">
        <v>26</v>
      </c>
      <c r="H37" s="16">
        <f t="shared" si="26"/>
        <v>2400</v>
      </c>
      <c r="I37" s="16">
        <v>80</v>
      </c>
      <c r="J37" s="16">
        <v>1</v>
      </c>
      <c r="K37" s="21">
        <v>2060</v>
      </c>
      <c r="L37" s="21">
        <v>1685.5</v>
      </c>
      <c r="M37" s="18">
        <v>0</v>
      </c>
      <c r="N37" s="18">
        <v>0</v>
      </c>
      <c r="O37" s="18">
        <v>0</v>
      </c>
      <c r="P37" s="18">
        <v>0</v>
      </c>
      <c r="Q37" s="18">
        <f t="shared" si="14"/>
        <v>25.75</v>
      </c>
      <c r="R37" s="18">
        <f t="shared" si="15"/>
        <v>21.068750000000001</v>
      </c>
      <c r="S37" s="18">
        <f t="shared" si="16"/>
        <v>0</v>
      </c>
      <c r="T37" s="18">
        <f t="shared" si="17"/>
        <v>0</v>
      </c>
      <c r="U37" s="18">
        <f t="shared" si="18"/>
        <v>0</v>
      </c>
      <c r="V37" s="18">
        <f t="shared" si="19"/>
        <v>0</v>
      </c>
      <c r="W37" s="18">
        <f t="shared" si="20"/>
        <v>0.32187500000000002</v>
      </c>
      <c r="X37" s="18">
        <f t="shared" si="21"/>
        <v>0.26335937500000001</v>
      </c>
      <c r="Y37" s="18">
        <f t="shared" si="22"/>
        <v>0</v>
      </c>
      <c r="Z37" s="18">
        <f t="shared" si="23"/>
        <v>0</v>
      </c>
      <c r="AA37" s="18">
        <f t="shared" si="24"/>
        <v>0</v>
      </c>
      <c r="AB37" s="18">
        <f t="shared" si="25"/>
        <v>0</v>
      </c>
    </row>
    <row r="38" spans="1:28" x14ac:dyDescent="0.25">
      <c r="A38" s="16" t="s">
        <v>3</v>
      </c>
      <c r="B38" s="20" t="s">
        <v>20</v>
      </c>
      <c r="C38" s="20" t="s">
        <v>20</v>
      </c>
      <c r="D38" s="20" t="s">
        <v>127</v>
      </c>
      <c r="E38" s="20" t="s">
        <v>68</v>
      </c>
      <c r="F38" s="16" t="s">
        <v>8</v>
      </c>
      <c r="G38" s="16" t="s">
        <v>26</v>
      </c>
      <c r="H38" s="16">
        <f t="shared" si="26"/>
        <v>2400</v>
      </c>
      <c r="I38" s="16">
        <v>80</v>
      </c>
      <c r="J38" s="16">
        <v>1</v>
      </c>
      <c r="K38" s="21">
        <v>2060</v>
      </c>
      <c r="L38" s="21">
        <v>1685.5</v>
      </c>
      <c r="M38" s="18">
        <v>0</v>
      </c>
      <c r="N38" s="18">
        <v>0</v>
      </c>
      <c r="O38" s="18">
        <v>0</v>
      </c>
      <c r="P38" s="18">
        <v>0</v>
      </c>
      <c r="Q38" s="18">
        <f t="shared" si="14"/>
        <v>25.75</v>
      </c>
      <c r="R38" s="18">
        <f t="shared" si="15"/>
        <v>21.068750000000001</v>
      </c>
      <c r="S38" s="18">
        <f t="shared" si="16"/>
        <v>0</v>
      </c>
      <c r="T38" s="18">
        <f t="shared" si="17"/>
        <v>0</v>
      </c>
      <c r="U38" s="18">
        <f t="shared" si="18"/>
        <v>0</v>
      </c>
      <c r="V38" s="18">
        <f t="shared" si="19"/>
        <v>0</v>
      </c>
      <c r="W38" s="18">
        <f t="shared" si="20"/>
        <v>0.32187500000000002</v>
      </c>
      <c r="X38" s="18">
        <f t="shared" si="21"/>
        <v>0.26335937500000001</v>
      </c>
      <c r="Y38" s="18">
        <f t="shared" si="22"/>
        <v>0</v>
      </c>
      <c r="Z38" s="18">
        <f t="shared" si="23"/>
        <v>0</v>
      </c>
      <c r="AA38" s="18">
        <f t="shared" si="24"/>
        <v>0</v>
      </c>
      <c r="AB38" s="18">
        <f t="shared" si="25"/>
        <v>0</v>
      </c>
    </row>
    <row r="39" spans="1:28" x14ac:dyDescent="0.25">
      <c r="A39" s="16" t="s">
        <v>3</v>
      </c>
      <c r="B39" s="20" t="s">
        <v>19</v>
      </c>
      <c r="C39" s="20" t="s">
        <v>19</v>
      </c>
      <c r="D39" s="20" t="s">
        <v>71</v>
      </c>
      <c r="E39" s="20" t="s">
        <v>68</v>
      </c>
      <c r="F39" s="16" t="s">
        <v>8</v>
      </c>
      <c r="G39" s="16" t="s">
        <v>26</v>
      </c>
      <c r="H39" s="16">
        <f t="shared" si="26"/>
        <v>2400</v>
      </c>
      <c r="I39" s="16">
        <v>80</v>
      </c>
      <c r="J39" s="16">
        <v>1</v>
      </c>
      <c r="K39" s="18">
        <v>0</v>
      </c>
      <c r="L39" s="18">
        <v>0</v>
      </c>
      <c r="M39" s="18">
        <v>5292</v>
      </c>
      <c r="N39" s="18">
        <v>2400</v>
      </c>
      <c r="O39" s="18">
        <v>2400</v>
      </c>
      <c r="P39" s="18">
        <v>0</v>
      </c>
      <c r="Q39" s="18">
        <f t="shared" si="14"/>
        <v>0</v>
      </c>
      <c r="R39" s="18">
        <f t="shared" si="15"/>
        <v>0</v>
      </c>
      <c r="S39" s="18">
        <f t="shared" si="16"/>
        <v>66.150000000000006</v>
      </c>
      <c r="T39" s="18">
        <f t="shared" si="17"/>
        <v>30</v>
      </c>
      <c r="U39" s="18">
        <f t="shared" si="18"/>
        <v>30</v>
      </c>
      <c r="V39" s="18">
        <f t="shared" si="19"/>
        <v>0</v>
      </c>
      <c r="W39" s="18">
        <f t="shared" si="20"/>
        <v>0</v>
      </c>
      <c r="X39" s="18">
        <f t="shared" si="21"/>
        <v>0</v>
      </c>
      <c r="Y39" s="18">
        <f t="shared" si="22"/>
        <v>0.82687500000000003</v>
      </c>
      <c r="Z39" s="18">
        <f t="shared" si="23"/>
        <v>0.375</v>
      </c>
      <c r="AA39" s="18">
        <f t="shared" si="24"/>
        <v>0.375</v>
      </c>
      <c r="AB39" s="18">
        <f t="shared" si="25"/>
        <v>0</v>
      </c>
    </row>
    <row r="40" spans="1:28" x14ac:dyDescent="0.25">
      <c r="A40" s="16" t="s">
        <v>3</v>
      </c>
      <c r="B40" s="20" t="s">
        <v>19</v>
      </c>
      <c r="C40" s="20" t="s">
        <v>19</v>
      </c>
      <c r="D40" s="20" t="s">
        <v>104</v>
      </c>
      <c r="E40" s="20" t="s">
        <v>68</v>
      </c>
      <c r="F40" s="16" t="s">
        <v>8</v>
      </c>
      <c r="G40" s="16" t="s">
        <v>26</v>
      </c>
      <c r="H40" s="16">
        <f t="shared" si="26"/>
        <v>2400</v>
      </c>
      <c r="I40" s="16">
        <v>80</v>
      </c>
      <c r="J40" s="16">
        <v>1</v>
      </c>
      <c r="K40" s="21">
        <v>1850</v>
      </c>
      <c r="L40" s="21">
        <v>1514</v>
      </c>
      <c r="M40" s="18">
        <v>0</v>
      </c>
      <c r="N40" s="18">
        <v>0</v>
      </c>
      <c r="O40" s="18">
        <v>0</v>
      </c>
      <c r="P40" s="18">
        <v>0</v>
      </c>
      <c r="Q40" s="18">
        <f t="shared" si="14"/>
        <v>23.125</v>
      </c>
      <c r="R40" s="18">
        <f t="shared" si="15"/>
        <v>18.925000000000001</v>
      </c>
      <c r="S40" s="18">
        <f t="shared" si="16"/>
        <v>0</v>
      </c>
      <c r="T40" s="18">
        <f t="shared" si="17"/>
        <v>0</v>
      </c>
      <c r="U40" s="18">
        <f t="shared" si="18"/>
        <v>0</v>
      </c>
      <c r="V40" s="18">
        <f t="shared" si="19"/>
        <v>0</v>
      </c>
      <c r="W40" s="18">
        <f t="shared" si="20"/>
        <v>0.2890625</v>
      </c>
      <c r="X40" s="18">
        <f t="shared" si="21"/>
        <v>0.23656250000000001</v>
      </c>
      <c r="Y40" s="18">
        <f t="shared" si="22"/>
        <v>0</v>
      </c>
      <c r="Z40" s="18">
        <f t="shared" si="23"/>
        <v>0</v>
      </c>
      <c r="AA40" s="18">
        <f t="shared" si="24"/>
        <v>0</v>
      </c>
      <c r="AB40" s="18">
        <f t="shared" si="25"/>
        <v>0</v>
      </c>
    </row>
    <row r="41" spans="1:28" x14ac:dyDescent="0.25">
      <c r="A41" s="16" t="s">
        <v>3</v>
      </c>
      <c r="B41" s="20" t="s">
        <v>19</v>
      </c>
      <c r="C41" s="20" t="s">
        <v>19</v>
      </c>
      <c r="D41" s="20" t="s">
        <v>126</v>
      </c>
      <c r="E41" s="20" t="s">
        <v>68</v>
      </c>
      <c r="F41" s="16" t="s">
        <v>8</v>
      </c>
      <c r="G41" s="16" t="s">
        <v>26</v>
      </c>
      <c r="H41" s="16">
        <f t="shared" si="26"/>
        <v>2400</v>
      </c>
      <c r="I41" s="16">
        <v>80</v>
      </c>
      <c r="J41" s="16">
        <v>1</v>
      </c>
      <c r="K41" s="21">
        <v>1850</v>
      </c>
      <c r="L41" s="21">
        <v>1514</v>
      </c>
      <c r="M41" s="18">
        <v>0</v>
      </c>
      <c r="N41" s="18">
        <v>0</v>
      </c>
      <c r="O41" s="18">
        <v>0</v>
      </c>
      <c r="P41" s="18">
        <v>0</v>
      </c>
      <c r="Q41" s="18">
        <f t="shared" si="14"/>
        <v>23.125</v>
      </c>
      <c r="R41" s="18">
        <f t="shared" si="15"/>
        <v>18.925000000000001</v>
      </c>
      <c r="S41" s="18">
        <f t="shared" si="16"/>
        <v>0</v>
      </c>
      <c r="T41" s="18">
        <f t="shared" si="17"/>
        <v>0</v>
      </c>
      <c r="U41" s="18">
        <f t="shared" si="18"/>
        <v>0</v>
      </c>
      <c r="V41" s="18">
        <f t="shared" si="19"/>
        <v>0</v>
      </c>
      <c r="W41" s="18">
        <f t="shared" si="20"/>
        <v>0.2890625</v>
      </c>
      <c r="X41" s="18">
        <f t="shared" si="21"/>
        <v>0.23656250000000001</v>
      </c>
      <c r="Y41" s="18">
        <f t="shared" si="22"/>
        <v>0</v>
      </c>
      <c r="Z41" s="18">
        <f t="shared" si="23"/>
        <v>0</v>
      </c>
      <c r="AA41" s="18">
        <f t="shared" si="24"/>
        <v>0</v>
      </c>
      <c r="AB41" s="18">
        <f t="shared" si="25"/>
        <v>0</v>
      </c>
    </row>
    <row r="42" spans="1:28" x14ac:dyDescent="0.25">
      <c r="A42" s="16" t="s">
        <v>3</v>
      </c>
      <c r="B42" s="20" t="s">
        <v>22</v>
      </c>
      <c r="C42" s="20" t="s">
        <v>22</v>
      </c>
      <c r="D42" s="20" t="s">
        <v>71</v>
      </c>
      <c r="E42" s="20" t="s">
        <v>68</v>
      </c>
      <c r="F42" s="16" t="s">
        <v>8</v>
      </c>
      <c r="G42" s="16" t="s">
        <v>26</v>
      </c>
      <c r="H42" s="16">
        <f t="shared" si="26"/>
        <v>2400</v>
      </c>
      <c r="I42" s="16">
        <v>80</v>
      </c>
      <c r="J42" s="16">
        <v>1</v>
      </c>
      <c r="K42" s="18">
        <v>0</v>
      </c>
      <c r="L42" s="18">
        <v>0</v>
      </c>
      <c r="M42" s="18">
        <v>4032</v>
      </c>
      <c r="N42" s="18">
        <v>0</v>
      </c>
      <c r="O42" s="18">
        <v>0</v>
      </c>
      <c r="P42" s="18">
        <v>0</v>
      </c>
      <c r="Q42" s="18">
        <f t="shared" si="14"/>
        <v>0</v>
      </c>
      <c r="R42" s="18">
        <f t="shared" si="15"/>
        <v>0</v>
      </c>
      <c r="S42" s="18">
        <f t="shared" si="16"/>
        <v>50.4</v>
      </c>
      <c r="T42" s="18">
        <f t="shared" si="17"/>
        <v>0</v>
      </c>
      <c r="U42" s="18">
        <f t="shared" si="18"/>
        <v>0</v>
      </c>
      <c r="V42" s="18">
        <f t="shared" si="19"/>
        <v>0</v>
      </c>
      <c r="W42" s="18">
        <f t="shared" si="20"/>
        <v>0</v>
      </c>
      <c r="X42" s="18">
        <f t="shared" si="21"/>
        <v>0</v>
      </c>
      <c r="Y42" s="18">
        <f t="shared" si="22"/>
        <v>0.63</v>
      </c>
      <c r="Z42" s="18">
        <f t="shared" si="23"/>
        <v>0</v>
      </c>
      <c r="AA42" s="18">
        <f t="shared" si="24"/>
        <v>0</v>
      </c>
      <c r="AB42" s="18">
        <f t="shared" si="25"/>
        <v>0</v>
      </c>
    </row>
    <row r="43" spans="1:28" x14ac:dyDescent="0.25">
      <c r="A43" s="16" t="s">
        <v>3</v>
      </c>
      <c r="B43" s="20" t="s">
        <v>22</v>
      </c>
      <c r="C43" s="20" t="s">
        <v>22</v>
      </c>
      <c r="D43" s="20" t="s">
        <v>107</v>
      </c>
      <c r="E43" s="20" t="s">
        <v>68</v>
      </c>
      <c r="F43" s="16" t="s">
        <v>8</v>
      </c>
      <c r="G43" s="16" t="s">
        <v>26</v>
      </c>
      <c r="H43" s="16">
        <f t="shared" si="26"/>
        <v>2400</v>
      </c>
      <c r="I43" s="16">
        <v>80</v>
      </c>
      <c r="J43" s="16">
        <v>1</v>
      </c>
      <c r="K43" s="21">
        <v>5856.5</v>
      </c>
      <c r="L43" s="21">
        <v>1728</v>
      </c>
      <c r="M43" s="18">
        <v>0</v>
      </c>
      <c r="N43" s="18">
        <v>0</v>
      </c>
      <c r="O43" s="18">
        <v>0</v>
      </c>
      <c r="P43" s="18">
        <v>0</v>
      </c>
      <c r="Q43" s="18">
        <f t="shared" si="14"/>
        <v>73.206249999999997</v>
      </c>
      <c r="R43" s="18">
        <f t="shared" si="15"/>
        <v>21.6</v>
      </c>
      <c r="S43" s="18">
        <f t="shared" si="16"/>
        <v>0</v>
      </c>
      <c r="T43" s="18">
        <f t="shared" si="17"/>
        <v>0</v>
      </c>
      <c r="U43" s="18">
        <f t="shared" si="18"/>
        <v>0</v>
      </c>
      <c r="V43" s="18">
        <f t="shared" si="19"/>
        <v>0</v>
      </c>
      <c r="W43" s="18">
        <f t="shared" si="20"/>
        <v>0.91507812499999996</v>
      </c>
      <c r="X43" s="18">
        <f t="shared" si="21"/>
        <v>0.27</v>
      </c>
      <c r="Y43" s="18">
        <f t="shared" si="22"/>
        <v>0</v>
      </c>
      <c r="Z43" s="18">
        <f t="shared" si="23"/>
        <v>0</v>
      </c>
      <c r="AA43" s="18">
        <f t="shared" si="24"/>
        <v>0</v>
      </c>
      <c r="AB43" s="18">
        <f t="shared" si="25"/>
        <v>0</v>
      </c>
    </row>
    <row r="44" spans="1:28" x14ac:dyDescent="0.25">
      <c r="A44" s="16" t="s">
        <v>3</v>
      </c>
      <c r="B44" s="20" t="s">
        <v>22</v>
      </c>
      <c r="C44" s="20" t="s">
        <v>22</v>
      </c>
      <c r="D44" s="20" t="s">
        <v>129</v>
      </c>
      <c r="E44" s="20" t="s">
        <v>68</v>
      </c>
      <c r="F44" s="16" t="s">
        <v>8</v>
      </c>
      <c r="G44" s="16" t="s">
        <v>26</v>
      </c>
      <c r="H44" s="16">
        <f t="shared" si="26"/>
        <v>2400</v>
      </c>
      <c r="I44" s="16">
        <v>80</v>
      </c>
      <c r="J44" s="16">
        <v>1</v>
      </c>
      <c r="K44" s="21">
        <v>5856.5</v>
      </c>
      <c r="L44" s="21">
        <v>1728</v>
      </c>
      <c r="M44" s="18">
        <v>0</v>
      </c>
      <c r="N44" s="18">
        <v>0</v>
      </c>
      <c r="O44" s="18">
        <v>0</v>
      </c>
      <c r="P44" s="18">
        <v>0</v>
      </c>
      <c r="Q44" s="18">
        <f t="shared" si="14"/>
        <v>73.206249999999997</v>
      </c>
      <c r="R44" s="18">
        <f t="shared" si="15"/>
        <v>21.6</v>
      </c>
      <c r="S44" s="18">
        <f t="shared" si="16"/>
        <v>0</v>
      </c>
      <c r="T44" s="18">
        <f t="shared" si="17"/>
        <v>0</v>
      </c>
      <c r="U44" s="18">
        <f t="shared" si="18"/>
        <v>0</v>
      </c>
      <c r="V44" s="18">
        <f t="shared" si="19"/>
        <v>0</v>
      </c>
      <c r="W44" s="18">
        <f t="shared" si="20"/>
        <v>0.91507812499999996</v>
      </c>
      <c r="X44" s="18">
        <f t="shared" si="21"/>
        <v>0.27</v>
      </c>
      <c r="Y44" s="18">
        <f t="shared" si="22"/>
        <v>0</v>
      </c>
      <c r="Z44" s="18">
        <f t="shared" si="23"/>
        <v>0</v>
      </c>
      <c r="AA44" s="18">
        <f t="shared" si="24"/>
        <v>0</v>
      </c>
      <c r="AB44" s="18">
        <f t="shared" si="25"/>
        <v>0</v>
      </c>
    </row>
    <row r="45" spans="1:28" x14ac:dyDescent="0.25">
      <c r="A45" s="16" t="s">
        <v>3</v>
      </c>
      <c r="B45" s="20" t="s">
        <v>21</v>
      </c>
      <c r="C45" s="20" t="s">
        <v>21</v>
      </c>
      <c r="D45" s="20" t="s">
        <v>71</v>
      </c>
      <c r="E45" s="20" t="s">
        <v>68</v>
      </c>
      <c r="F45" s="16" t="s">
        <v>8</v>
      </c>
      <c r="G45" s="16" t="s">
        <v>26</v>
      </c>
      <c r="H45" s="16">
        <f t="shared" si="26"/>
        <v>2400</v>
      </c>
      <c r="I45" s="16">
        <v>80</v>
      </c>
      <c r="J45" s="16">
        <v>1</v>
      </c>
      <c r="K45" s="18">
        <v>0</v>
      </c>
      <c r="L45" s="18">
        <v>0</v>
      </c>
      <c r="M45" s="18">
        <v>40</v>
      </c>
      <c r="N45" s="18">
        <v>10000</v>
      </c>
      <c r="O45" s="18">
        <v>2000</v>
      </c>
      <c r="P45" s="18">
        <v>0</v>
      </c>
      <c r="Q45" s="18">
        <f t="shared" si="14"/>
        <v>0</v>
      </c>
      <c r="R45" s="18">
        <f t="shared" si="15"/>
        <v>0</v>
      </c>
      <c r="S45" s="18">
        <f t="shared" si="16"/>
        <v>0.5</v>
      </c>
      <c r="T45" s="18">
        <f t="shared" si="17"/>
        <v>125</v>
      </c>
      <c r="U45" s="18">
        <f t="shared" si="18"/>
        <v>25</v>
      </c>
      <c r="V45" s="18">
        <f t="shared" si="19"/>
        <v>0</v>
      </c>
      <c r="W45" s="18">
        <f t="shared" si="20"/>
        <v>0</v>
      </c>
      <c r="X45" s="18">
        <f t="shared" si="21"/>
        <v>0</v>
      </c>
      <c r="Y45" s="18">
        <f t="shared" si="22"/>
        <v>6.2500000000000003E-3</v>
      </c>
      <c r="Z45" s="18">
        <f t="shared" si="23"/>
        <v>1.5625</v>
      </c>
      <c r="AA45" s="18">
        <f t="shared" si="24"/>
        <v>0.3125</v>
      </c>
      <c r="AB45" s="18">
        <f t="shared" si="25"/>
        <v>0</v>
      </c>
    </row>
    <row r="46" spans="1:28" x14ac:dyDescent="0.25">
      <c r="A46" s="16" t="s">
        <v>3</v>
      </c>
      <c r="B46" s="20" t="s">
        <v>21</v>
      </c>
      <c r="C46" s="20" t="s">
        <v>21</v>
      </c>
      <c r="D46" s="20" t="s">
        <v>106</v>
      </c>
      <c r="E46" s="20" t="s">
        <v>68</v>
      </c>
      <c r="F46" s="16" t="s">
        <v>8</v>
      </c>
      <c r="G46" s="16" t="s">
        <v>26</v>
      </c>
      <c r="H46" s="16">
        <f t="shared" si="26"/>
        <v>2400</v>
      </c>
      <c r="I46" s="16">
        <v>80</v>
      </c>
      <c r="J46" s="16">
        <v>1</v>
      </c>
      <c r="K46" s="21">
        <v>1584</v>
      </c>
      <c r="L46" s="21">
        <v>317</v>
      </c>
      <c r="M46" s="18">
        <v>0</v>
      </c>
      <c r="N46" s="18">
        <v>0</v>
      </c>
      <c r="O46" s="18">
        <v>0</v>
      </c>
      <c r="P46" s="18">
        <v>0</v>
      </c>
      <c r="Q46" s="18">
        <f t="shared" si="14"/>
        <v>19.8</v>
      </c>
      <c r="R46" s="18">
        <f t="shared" si="15"/>
        <v>3.9624999999999999</v>
      </c>
      <c r="S46" s="18">
        <f t="shared" si="16"/>
        <v>0</v>
      </c>
      <c r="T46" s="18">
        <f t="shared" si="17"/>
        <v>0</v>
      </c>
      <c r="U46" s="18">
        <f t="shared" si="18"/>
        <v>0</v>
      </c>
      <c r="V46" s="18">
        <f t="shared" si="19"/>
        <v>0</v>
      </c>
      <c r="W46" s="18">
        <f t="shared" si="20"/>
        <v>0.2475</v>
      </c>
      <c r="X46" s="18">
        <f t="shared" si="21"/>
        <v>4.9531249999999999E-2</v>
      </c>
      <c r="Y46" s="18">
        <f t="shared" si="22"/>
        <v>0</v>
      </c>
      <c r="Z46" s="18">
        <f t="shared" si="23"/>
        <v>0</v>
      </c>
      <c r="AA46" s="18">
        <f t="shared" si="24"/>
        <v>0</v>
      </c>
      <c r="AB46" s="18">
        <f t="shared" si="25"/>
        <v>0</v>
      </c>
    </row>
    <row r="47" spans="1:28" x14ac:dyDescent="0.25">
      <c r="A47" s="16" t="s">
        <v>3</v>
      </c>
      <c r="B47" s="20" t="s">
        <v>21</v>
      </c>
      <c r="C47" s="20" t="s">
        <v>21</v>
      </c>
      <c r="D47" s="20" t="s">
        <v>128</v>
      </c>
      <c r="E47" s="20" t="s">
        <v>68</v>
      </c>
      <c r="F47" s="16" t="s">
        <v>8</v>
      </c>
      <c r="G47" s="16" t="s">
        <v>26</v>
      </c>
      <c r="H47" s="16">
        <f t="shared" si="26"/>
        <v>2400</v>
      </c>
      <c r="I47" s="16">
        <v>80</v>
      </c>
      <c r="J47" s="16">
        <v>1</v>
      </c>
      <c r="K47" s="21">
        <v>1584</v>
      </c>
      <c r="L47" s="21">
        <v>317</v>
      </c>
      <c r="M47" s="18">
        <v>0</v>
      </c>
      <c r="N47" s="18">
        <v>0</v>
      </c>
      <c r="O47" s="18">
        <v>0</v>
      </c>
      <c r="P47" s="18">
        <v>0</v>
      </c>
      <c r="Q47" s="18">
        <f t="shared" si="14"/>
        <v>19.8</v>
      </c>
      <c r="R47" s="18">
        <f t="shared" si="15"/>
        <v>3.9624999999999999</v>
      </c>
      <c r="S47" s="18">
        <f t="shared" si="16"/>
        <v>0</v>
      </c>
      <c r="T47" s="18">
        <f t="shared" si="17"/>
        <v>0</v>
      </c>
      <c r="U47" s="18">
        <f t="shared" si="18"/>
        <v>0</v>
      </c>
      <c r="V47" s="18">
        <f t="shared" si="19"/>
        <v>0</v>
      </c>
      <c r="W47" s="18">
        <f t="shared" si="20"/>
        <v>0.2475</v>
      </c>
      <c r="X47" s="18">
        <f t="shared" si="21"/>
        <v>4.9531249999999999E-2</v>
      </c>
      <c r="Y47" s="18">
        <f t="shared" si="22"/>
        <v>0</v>
      </c>
      <c r="Z47" s="18">
        <f t="shared" si="23"/>
        <v>0</v>
      </c>
      <c r="AA47" s="18">
        <f t="shared" si="24"/>
        <v>0</v>
      </c>
      <c r="AB47" s="18">
        <f t="shared" si="25"/>
        <v>0</v>
      </c>
    </row>
    <row r="48" spans="1:28" x14ac:dyDescent="0.25">
      <c r="A48" s="16" t="s">
        <v>3</v>
      </c>
      <c r="B48" s="16" t="s">
        <v>18</v>
      </c>
      <c r="C48" s="16" t="s">
        <v>18</v>
      </c>
      <c r="D48" s="20" t="s">
        <v>71</v>
      </c>
      <c r="E48" s="20" t="s">
        <v>70</v>
      </c>
      <c r="F48" s="16" t="s">
        <v>7</v>
      </c>
      <c r="G48" s="16" t="s">
        <v>25</v>
      </c>
      <c r="H48" s="16">
        <f t="shared" ref="H48:H72" si="27">24*75</f>
        <v>1800</v>
      </c>
      <c r="I48" s="16">
        <v>75</v>
      </c>
      <c r="J48" s="16">
        <v>1</v>
      </c>
      <c r="K48" s="18">
        <v>0</v>
      </c>
      <c r="L48" s="18">
        <v>0</v>
      </c>
      <c r="M48" s="18">
        <v>1083</v>
      </c>
      <c r="N48" s="18">
        <v>0</v>
      </c>
      <c r="O48" s="18">
        <v>0</v>
      </c>
      <c r="P48" s="18">
        <v>0</v>
      </c>
      <c r="Q48" s="18">
        <f t="shared" si="14"/>
        <v>0</v>
      </c>
      <c r="R48" s="18">
        <f t="shared" si="15"/>
        <v>0</v>
      </c>
      <c r="S48" s="18">
        <f t="shared" si="16"/>
        <v>14.44</v>
      </c>
      <c r="T48" s="18">
        <f t="shared" si="17"/>
        <v>0</v>
      </c>
      <c r="U48" s="18">
        <f t="shared" si="18"/>
        <v>0</v>
      </c>
      <c r="V48" s="18">
        <f t="shared" si="19"/>
        <v>0</v>
      </c>
      <c r="W48" s="18">
        <f t="shared" si="20"/>
        <v>0</v>
      </c>
      <c r="X48" s="18">
        <f t="shared" si="21"/>
        <v>0</v>
      </c>
      <c r="Y48" s="18">
        <f t="shared" si="22"/>
        <v>0.19253333333333333</v>
      </c>
      <c r="Z48" s="18">
        <f t="shared" si="23"/>
        <v>0</v>
      </c>
      <c r="AA48" s="18">
        <f t="shared" si="24"/>
        <v>0</v>
      </c>
      <c r="AB48" s="18">
        <f t="shared" si="25"/>
        <v>0</v>
      </c>
    </row>
    <row r="49" spans="1:28" x14ac:dyDescent="0.25">
      <c r="A49" s="16" t="s">
        <v>3</v>
      </c>
      <c r="B49" s="16" t="s">
        <v>18</v>
      </c>
      <c r="C49" s="16" t="s">
        <v>18</v>
      </c>
      <c r="D49" s="20" t="s">
        <v>71</v>
      </c>
      <c r="E49" s="20" t="s">
        <v>70</v>
      </c>
      <c r="F49" s="16" t="s">
        <v>7</v>
      </c>
      <c r="G49" s="16" t="s">
        <v>25</v>
      </c>
      <c r="H49" s="16">
        <f t="shared" si="27"/>
        <v>1800</v>
      </c>
      <c r="I49" s="16">
        <v>75</v>
      </c>
      <c r="J49" s="16">
        <v>1</v>
      </c>
      <c r="K49" s="18">
        <v>0</v>
      </c>
      <c r="L49" s="18">
        <v>0</v>
      </c>
      <c r="M49" s="18">
        <v>721</v>
      </c>
      <c r="N49" s="18">
        <v>0</v>
      </c>
      <c r="O49" s="18">
        <v>216</v>
      </c>
      <c r="P49" s="18">
        <v>0</v>
      </c>
      <c r="Q49" s="18">
        <f t="shared" si="14"/>
        <v>0</v>
      </c>
      <c r="R49" s="18">
        <f t="shared" si="15"/>
        <v>0</v>
      </c>
      <c r="S49" s="18">
        <f t="shared" si="16"/>
        <v>9.6133333333333333</v>
      </c>
      <c r="T49" s="18">
        <f t="shared" si="17"/>
        <v>0</v>
      </c>
      <c r="U49" s="18">
        <f t="shared" si="18"/>
        <v>2.88</v>
      </c>
      <c r="V49" s="18">
        <f t="shared" si="19"/>
        <v>0</v>
      </c>
      <c r="W49" s="18">
        <f t="shared" si="20"/>
        <v>0</v>
      </c>
      <c r="X49" s="18">
        <f t="shared" si="21"/>
        <v>0</v>
      </c>
      <c r="Y49" s="18">
        <f t="shared" si="22"/>
        <v>0.12817777777777778</v>
      </c>
      <c r="Z49" s="18">
        <f t="shared" si="23"/>
        <v>0</v>
      </c>
      <c r="AA49" s="18">
        <f t="shared" si="24"/>
        <v>3.8399999999999997E-2</v>
      </c>
      <c r="AB49" s="18">
        <f t="shared" si="25"/>
        <v>0</v>
      </c>
    </row>
    <row r="50" spans="1:28" x14ac:dyDescent="0.25">
      <c r="A50" s="16" t="s">
        <v>3</v>
      </c>
      <c r="B50" s="16" t="s">
        <v>18</v>
      </c>
      <c r="C50" s="16" t="s">
        <v>18</v>
      </c>
      <c r="D50" s="20" t="s">
        <v>71</v>
      </c>
      <c r="E50" s="20" t="s">
        <v>70</v>
      </c>
      <c r="F50" s="16" t="s">
        <v>7</v>
      </c>
      <c r="G50" s="16" t="s">
        <v>25</v>
      </c>
      <c r="H50" s="16">
        <f t="shared" si="27"/>
        <v>1800</v>
      </c>
      <c r="I50" s="16">
        <v>75</v>
      </c>
      <c r="J50" s="16">
        <v>1</v>
      </c>
      <c r="K50" s="18">
        <v>0</v>
      </c>
      <c r="L50" s="18">
        <v>0</v>
      </c>
      <c r="M50" s="18">
        <v>1441</v>
      </c>
      <c r="N50" s="18">
        <v>0</v>
      </c>
      <c r="O50" s="18">
        <v>0</v>
      </c>
      <c r="P50" s="18">
        <v>0</v>
      </c>
      <c r="Q50" s="18">
        <f t="shared" si="14"/>
        <v>0</v>
      </c>
      <c r="R50" s="18">
        <f t="shared" si="15"/>
        <v>0</v>
      </c>
      <c r="S50" s="18">
        <f t="shared" si="16"/>
        <v>19.213333333333335</v>
      </c>
      <c r="T50" s="18">
        <f t="shared" si="17"/>
        <v>0</v>
      </c>
      <c r="U50" s="18">
        <f t="shared" si="18"/>
        <v>0</v>
      </c>
      <c r="V50" s="18">
        <f t="shared" si="19"/>
        <v>0</v>
      </c>
      <c r="W50" s="18">
        <f t="shared" si="20"/>
        <v>0</v>
      </c>
      <c r="X50" s="18">
        <f t="shared" si="21"/>
        <v>0</v>
      </c>
      <c r="Y50" s="18">
        <f t="shared" si="22"/>
        <v>0.25617777777777778</v>
      </c>
      <c r="Z50" s="18">
        <f t="shared" si="23"/>
        <v>0</v>
      </c>
      <c r="AA50" s="18">
        <f t="shared" si="24"/>
        <v>0</v>
      </c>
      <c r="AB50" s="18">
        <f t="shared" si="25"/>
        <v>0</v>
      </c>
    </row>
    <row r="51" spans="1:28" x14ac:dyDescent="0.25">
      <c r="A51" s="16" t="s">
        <v>3</v>
      </c>
      <c r="B51" s="16" t="s">
        <v>18</v>
      </c>
      <c r="C51" s="16" t="s">
        <v>18</v>
      </c>
      <c r="D51" s="20" t="s">
        <v>71</v>
      </c>
      <c r="E51" s="20" t="s">
        <v>70</v>
      </c>
      <c r="F51" s="16" t="s">
        <v>7</v>
      </c>
      <c r="G51" s="16" t="s">
        <v>25</v>
      </c>
      <c r="H51" s="16">
        <f t="shared" si="27"/>
        <v>1800</v>
      </c>
      <c r="I51" s="16">
        <v>75</v>
      </c>
      <c r="J51" s="16">
        <v>1</v>
      </c>
      <c r="K51" s="18">
        <v>0</v>
      </c>
      <c r="L51" s="18">
        <v>0</v>
      </c>
      <c r="M51" s="18">
        <v>2017</v>
      </c>
      <c r="N51" s="18">
        <v>302</v>
      </c>
      <c r="O51" s="18">
        <v>0</v>
      </c>
      <c r="P51" s="18">
        <v>0</v>
      </c>
      <c r="Q51" s="18">
        <f t="shared" si="14"/>
        <v>0</v>
      </c>
      <c r="R51" s="18">
        <f t="shared" si="15"/>
        <v>0</v>
      </c>
      <c r="S51" s="18">
        <f t="shared" si="16"/>
        <v>26.893333333333334</v>
      </c>
      <c r="T51" s="18">
        <f t="shared" si="17"/>
        <v>4.0266666666666664</v>
      </c>
      <c r="U51" s="18">
        <f t="shared" si="18"/>
        <v>0</v>
      </c>
      <c r="V51" s="18">
        <f t="shared" si="19"/>
        <v>0</v>
      </c>
      <c r="W51" s="18">
        <f t="shared" si="20"/>
        <v>0</v>
      </c>
      <c r="X51" s="18">
        <f t="shared" si="21"/>
        <v>0</v>
      </c>
      <c r="Y51" s="18">
        <f t="shared" si="22"/>
        <v>0.35857777777777777</v>
      </c>
      <c r="Z51" s="18">
        <f t="shared" si="23"/>
        <v>5.3688888888888883E-2</v>
      </c>
      <c r="AA51" s="18">
        <f t="shared" si="24"/>
        <v>0</v>
      </c>
      <c r="AB51" s="18">
        <f t="shared" si="25"/>
        <v>0</v>
      </c>
    </row>
    <row r="52" spans="1:28" x14ac:dyDescent="0.25">
      <c r="A52" s="16" t="s">
        <v>3</v>
      </c>
      <c r="B52" s="16" t="s">
        <v>18</v>
      </c>
      <c r="C52" s="16" t="s">
        <v>18</v>
      </c>
      <c r="D52" s="20" t="s">
        <v>71</v>
      </c>
      <c r="E52" s="20" t="s">
        <v>70</v>
      </c>
      <c r="F52" s="16" t="s">
        <v>7</v>
      </c>
      <c r="G52" s="16" t="s">
        <v>25</v>
      </c>
      <c r="H52" s="16">
        <f t="shared" si="27"/>
        <v>1800</v>
      </c>
      <c r="I52" s="16">
        <v>75</v>
      </c>
      <c r="J52" s="16">
        <v>1</v>
      </c>
      <c r="K52" s="18">
        <v>0</v>
      </c>
      <c r="L52" s="18">
        <v>0</v>
      </c>
      <c r="M52" s="18">
        <v>541</v>
      </c>
      <c r="N52" s="18">
        <v>0</v>
      </c>
      <c r="O52" s="18">
        <v>0</v>
      </c>
      <c r="P52" s="18">
        <v>0</v>
      </c>
      <c r="Q52" s="18">
        <f t="shared" si="14"/>
        <v>0</v>
      </c>
      <c r="R52" s="18">
        <f t="shared" si="15"/>
        <v>0</v>
      </c>
      <c r="S52" s="18">
        <f t="shared" si="16"/>
        <v>7.2133333333333329</v>
      </c>
      <c r="T52" s="18">
        <f t="shared" si="17"/>
        <v>0</v>
      </c>
      <c r="U52" s="18">
        <f t="shared" si="18"/>
        <v>0</v>
      </c>
      <c r="V52" s="18">
        <f t="shared" si="19"/>
        <v>0</v>
      </c>
      <c r="W52" s="18">
        <f t="shared" si="20"/>
        <v>0</v>
      </c>
      <c r="X52" s="18">
        <f t="shared" si="21"/>
        <v>0</v>
      </c>
      <c r="Y52" s="18">
        <f t="shared" si="22"/>
        <v>9.6177777777777779E-2</v>
      </c>
      <c r="Z52" s="18">
        <f t="shared" si="23"/>
        <v>0</v>
      </c>
      <c r="AA52" s="18">
        <f t="shared" si="24"/>
        <v>0</v>
      </c>
      <c r="AB52" s="18">
        <f t="shared" si="25"/>
        <v>0</v>
      </c>
    </row>
    <row r="53" spans="1:28" x14ac:dyDescent="0.25">
      <c r="A53" s="16" t="s">
        <v>3</v>
      </c>
      <c r="B53" s="16" t="s">
        <v>18</v>
      </c>
      <c r="C53" s="16" t="s">
        <v>18</v>
      </c>
      <c r="D53" s="20" t="s">
        <v>103</v>
      </c>
      <c r="E53" s="20" t="s">
        <v>70</v>
      </c>
      <c r="F53" s="16" t="s">
        <v>7</v>
      </c>
      <c r="G53" s="16" t="s">
        <v>25</v>
      </c>
      <c r="H53" s="16">
        <f t="shared" si="27"/>
        <v>1800</v>
      </c>
      <c r="I53" s="16">
        <v>75</v>
      </c>
      <c r="J53" s="16">
        <v>1</v>
      </c>
      <c r="K53" s="18">
        <v>0</v>
      </c>
      <c r="L53" s="18">
        <v>0</v>
      </c>
      <c r="M53" s="18">
        <v>0</v>
      </c>
      <c r="N53" s="18">
        <v>0</v>
      </c>
      <c r="O53" s="18">
        <v>0</v>
      </c>
      <c r="P53" s="18">
        <v>720</v>
      </c>
      <c r="Q53" s="18">
        <f t="shared" si="14"/>
        <v>0</v>
      </c>
      <c r="R53" s="18">
        <f t="shared" si="15"/>
        <v>0</v>
      </c>
      <c r="S53" s="18">
        <f t="shared" si="16"/>
        <v>0</v>
      </c>
      <c r="T53" s="18">
        <f t="shared" si="17"/>
        <v>0</v>
      </c>
      <c r="U53" s="18">
        <f t="shared" si="18"/>
        <v>0</v>
      </c>
      <c r="V53" s="18">
        <f t="shared" si="19"/>
        <v>9.6</v>
      </c>
      <c r="W53" s="18">
        <f t="shared" si="20"/>
        <v>0</v>
      </c>
      <c r="X53" s="18">
        <f t="shared" si="21"/>
        <v>0</v>
      </c>
      <c r="Y53" s="18">
        <f t="shared" si="22"/>
        <v>0</v>
      </c>
      <c r="Z53" s="18">
        <f t="shared" si="23"/>
        <v>0</v>
      </c>
      <c r="AA53" s="18">
        <f t="shared" si="24"/>
        <v>0</v>
      </c>
      <c r="AB53" s="18">
        <f t="shared" si="25"/>
        <v>0.128</v>
      </c>
    </row>
    <row r="54" spans="1:28" x14ac:dyDescent="0.25">
      <c r="A54" s="16" t="s">
        <v>3</v>
      </c>
      <c r="B54" s="16" t="s">
        <v>18</v>
      </c>
      <c r="C54" s="16" t="s">
        <v>18</v>
      </c>
      <c r="D54" s="20" t="s">
        <v>103</v>
      </c>
      <c r="E54" s="20" t="s">
        <v>70</v>
      </c>
      <c r="F54" s="16" t="s">
        <v>7</v>
      </c>
      <c r="G54" s="16" t="s">
        <v>25</v>
      </c>
      <c r="H54" s="16">
        <f t="shared" si="27"/>
        <v>1800</v>
      </c>
      <c r="I54" s="16">
        <v>75</v>
      </c>
      <c r="J54" s="16">
        <v>1</v>
      </c>
      <c r="K54" s="18">
        <v>0</v>
      </c>
      <c r="L54" s="18">
        <v>0</v>
      </c>
      <c r="M54" s="18">
        <v>0</v>
      </c>
      <c r="N54" s="18">
        <v>0</v>
      </c>
      <c r="O54" s="18">
        <v>0</v>
      </c>
      <c r="P54" s="18">
        <v>180</v>
      </c>
      <c r="Q54" s="18">
        <f t="shared" si="14"/>
        <v>0</v>
      </c>
      <c r="R54" s="18">
        <f t="shared" si="15"/>
        <v>0</v>
      </c>
      <c r="S54" s="18">
        <f t="shared" si="16"/>
        <v>0</v>
      </c>
      <c r="T54" s="18">
        <f t="shared" si="17"/>
        <v>0</v>
      </c>
      <c r="U54" s="18">
        <f t="shared" si="18"/>
        <v>0</v>
      </c>
      <c r="V54" s="18">
        <f t="shared" si="19"/>
        <v>2.4</v>
      </c>
      <c r="W54" s="18">
        <f t="shared" si="20"/>
        <v>0</v>
      </c>
      <c r="X54" s="18">
        <f t="shared" si="21"/>
        <v>0</v>
      </c>
      <c r="Y54" s="18">
        <f t="shared" si="22"/>
        <v>0</v>
      </c>
      <c r="Z54" s="18">
        <f t="shared" si="23"/>
        <v>0</v>
      </c>
      <c r="AA54" s="18">
        <f t="shared" si="24"/>
        <v>0</v>
      </c>
      <c r="AB54" s="18">
        <f t="shared" si="25"/>
        <v>3.2000000000000001E-2</v>
      </c>
    </row>
    <row r="55" spans="1:28" x14ac:dyDescent="0.25">
      <c r="A55" s="16" t="s">
        <v>3</v>
      </c>
      <c r="B55" s="16" t="s">
        <v>18</v>
      </c>
      <c r="C55" s="16" t="s">
        <v>18</v>
      </c>
      <c r="D55" s="20" t="s">
        <v>115</v>
      </c>
      <c r="E55" s="20" t="s">
        <v>70</v>
      </c>
      <c r="F55" s="16" t="s">
        <v>7</v>
      </c>
      <c r="G55" s="16" t="s">
        <v>25</v>
      </c>
      <c r="H55" s="16">
        <f t="shared" si="27"/>
        <v>1800</v>
      </c>
      <c r="I55" s="16">
        <v>75</v>
      </c>
      <c r="J55" s="16">
        <v>1</v>
      </c>
      <c r="K55" s="21">
        <v>1677.5</v>
      </c>
      <c r="L55" s="21">
        <v>487</v>
      </c>
      <c r="M55" s="18">
        <v>0</v>
      </c>
      <c r="N55" s="18">
        <v>0</v>
      </c>
      <c r="O55" s="18">
        <v>0</v>
      </c>
      <c r="P55" s="18">
        <v>0</v>
      </c>
      <c r="Q55" s="18">
        <f t="shared" si="14"/>
        <v>22.366666666666667</v>
      </c>
      <c r="R55" s="18">
        <f t="shared" si="15"/>
        <v>6.4933333333333332</v>
      </c>
      <c r="S55" s="18">
        <f t="shared" si="16"/>
        <v>0</v>
      </c>
      <c r="T55" s="18">
        <f t="shared" si="17"/>
        <v>0</v>
      </c>
      <c r="U55" s="18">
        <f t="shared" si="18"/>
        <v>0</v>
      </c>
      <c r="V55" s="18">
        <f t="shared" si="19"/>
        <v>0</v>
      </c>
      <c r="W55" s="18">
        <f t="shared" si="20"/>
        <v>0.29822222222222222</v>
      </c>
      <c r="X55" s="18">
        <f t="shared" si="21"/>
        <v>8.6577777777777781E-2</v>
      </c>
      <c r="Y55" s="18">
        <f t="shared" si="22"/>
        <v>0</v>
      </c>
      <c r="Z55" s="18">
        <f t="shared" si="23"/>
        <v>0</v>
      </c>
      <c r="AA55" s="18">
        <f t="shared" si="24"/>
        <v>0</v>
      </c>
      <c r="AB55" s="18">
        <f t="shared" si="25"/>
        <v>0</v>
      </c>
    </row>
    <row r="56" spans="1:28" x14ac:dyDescent="0.25">
      <c r="A56" s="16" t="s">
        <v>3</v>
      </c>
      <c r="B56" s="16" t="s">
        <v>18</v>
      </c>
      <c r="C56" s="16" t="s">
        <v>18</v>
      </c>
      <c r="D56" s="20" t="s">
        <v>115</v>
      </c>
      <c r="E56" s="20" t="s">
        <v>70</v>
      </c>
      <c r="F56" s="16" t="s">
        <v>7</v>
      </c>
      <c r="G56" s="16" t="s">
        <v>25</v>
      </c>
      <c r="H56" s="16">
        <f t="shared" si="27"/>
        <v>1800</v>
      </c>
      <c r="I56" s="16">
        <v>75</v>
      </c>
      <c r="J56" s="16">
        <v>1</v>
      </c>
      <c r="K56" s="21">
        <v>2125</v>
      </c>
      <c r="L56" s="18">
        <v>0</v>
      </c>
      <c r="M56" s="18">
        <v>0</v>
      </c>
      <c r="N56" s="18">
        <v>0</v>
      </c>
      <c r="O56" s="18">
        <v>0</v>
      </c>
      <c r="P56" s="18">
        <v>0</v>
      </c>
      <c r="Q56" s="18">
        <f t="shared" si="14"/>
        <v>28.333333333333332</v>
      </c>
      <c r="R56" s="18">
        <f t="shared" si="15"/>
        <v>0</v>
      </c>
      <c r="S56" s="18">
        <f t="shared" si="16"/>
        <v>0</v>
      </c>
      <c r="T56" s="18">
        <f t="shared" si="17"/>
        <v>0</v>
      </c>
      <c r="U56" s="18">
        <f t="shared" si="18"/>
        <v>0</v>
      </c>
      <c r="V56" s="18">
        <f t="shared" si="19"/>
        <v>0</v>
      </c>
      <c r="W56" s="18">
        <f t="shared" si="20"/>
        <v>0.37777777777777777</v>
      </c>
      <c r="X56" s="18">
        <f t="shared" si="21"/>
        <v>0</v>
      </c>
      <c r="Y56" s="18">
        <f t="shared" si="22"/>
        <v>0</v>
      </c>
      <c r="Z56" s="18">
        <f t="shared" si="23"/>
        <v>0</v>
      </c>
      <c r="AA56" s="18">
        <f t="shared" si="24"/>
        <v>0</v>
      </c>
      <c r="AB56" s="18">
        <f t="shared" si="25"/>
        <v>0</v>
      </c>
    </row>
    <row r="57" spans="1:28" x14ac:dyDescent="0.25">
      <c r="A57" s="16" t="s">
        <v>3</v>
      </c>
      <c r="B57" s="16" t="s">
        <v>18</v>
      </c>
      <c r="C57" s="16" t="s">
        <v>18</v>
      </c>
      <c r="D57" s="20" t="s">
        <v>116</v>
      </c>
      <c r="E57" s="20" t="s">
        <v>70</v>
      </c>
      <c r="F57" s="16" t="s">
        <v>7</v>
      </c>
      <c r="G57" s="16" t="s">
        <v>25</v>
      </c>
      <c r="H57" s="16">
        <f t="shared" si="27"/>
        <v>1800</v>
      </c>
      <c r="I57" s="16">
        <v>75</v>
      </c>
      <c r="J57" s="16">
        <v>1</v>
      </c>
      <c r="K57" s="21">
        <v>2235</v>
      </c>
      <c r="L57" s="18">
        <v>0</v>
      </c>
      <c r="M57" s="18">
        <v>0</v>
      </c>
      <c r="N57" s="18">
        <v>0</v>
      </c>
      <c r="O57" s="18">
        <v>0</v>
      </c>
      <c r="P57" s="18">
        <v>0</v>
      </c>
      <c r="Q57" s="18">
        <f t="shared" si="14"/>
        <v>29.8</v>
      </c>
      <c r="R57" s="18">
        <f t="shared" si="15"/>
        <v>0</v>
      </c>
      <c r="S57" s="18">
        <f t="shared" si="16"/>
        <v>0</v>
      </c>
      <c r="T57" s="18">
        <f t="shared" si="17"/>
        <v>0</v>
      </c>
      <c r="U57" s="18">
        <f t="shared" si="18"/>
        <v>0</v>
      </c>
      <c r="V57" s="18">
        <f t="shared" si="19"/>
        <v>0</v>
      </c>
      <c r="W57" s="18">
        <f t="shared" si="20"/>
        <v>0.39733333333333332</v>
      </c>
      <c r="X57" s="18">
        <f t="shared" si="21"/>
        <v>0</v>
      </c>
      <c r="Y57" s="18">
        <f t="shared" si="22"/>
        <v>0</v>
      </c>
      <c r="Z57" s="18">
        <f t="shared" si="23"/>
        <v>0</v>
      </c>
      <c r="AA57" s="18">
        <f t="shared" si="24"/>
        <v>0</v>
      </c>
      <c r="AB57" s="18">
        <f t="shared" si="25"/>
        <v>0</v>
      </c>
    </row>
    <row r="58" spans="1:28" x14ac:dyDescent="0.25">
      <c r="A58" s="16" t="s">
        <v>3</v>
      </c>
      <c r="B58" s="16" t="s">
        <v>18</v>
      </c>
      <c r="C58" s="16" t="s">
        <v>18</v>
      </c>
      <c r="D58" s="20" t="s">
        <v>116</v>
      </c>
      <c r="E58" s="20" t="s">
        <v>70</v>
      </c>
      <c r="F58" s="16" t="s">
        <v>7</v>
      </c>
      <c r="G58" s="16" t="s">
        <v>25</v>
      </c>
      <c r="H58" s="16">
        <f t="shared" si="27"/>
        <v>1800</v>
      </c>
      <c r="I58" s="16">
        <v>75</v>
      </c>
      <c r="J58" s="16">
        <v>1</v>
      </c>
      <c r="K58" s="21">
        <v>2973.5</v>
      </c>
      <c r="L58" s="18">
        <v>0</v>
      </c>
      <c r="M58" s="18">
        <v>0</v>
      </c>
      <c r="N58" s="18">
        <v>0</v>
      </c>
      <c r="O58" s="18">
        <v>0</v>
      </c>
      <c r="P58" s="18">
        <v>0</v>
      </c>
      <c r="Q58" s="18">
        <f t="shared" si="14"/>
        <v>39.646666666666668</v>
      </c>
      <c r="R58" s="18">
        <f t="shared" si="15"/>
        <v>0</v>
      </c>
      <c r="S58" s="18">
        <f t="shared" si="16"/>
        <v>0</v>
      </c>
      <c r="T58" s="18">
        <f t="shared" si="17"/>
        <v>0</v>
      </c>
      <c r="U58" s="18">
        <f t="shared" si="18"/>
        <v>0</v>
      </c>
      <c r="V58" s="18">
        <f t="shared" si="19"/>
        <v>0</v>
      </c>
      <c r="W58" s="18">
        <f t="shared" si="20"/>
        <v>0.52862222222222222</v>
      </c>
      <c r="X58" s="18">
        <f t="shared" si="21"/>
        <v>0</v>
      </c>
      <c r="Y58" s="18">
        <f t="shared" si="22"/>
        <v>0</v>
      </c>
      <c r="Z58" s="18">
        <f t="shared" si="23"/>
        <v>0</v>
      </c>
      <c r="AA58" s="18">
        <f t="shared" si="24"/>
        <v>0</v>
      </c>
      <c r="AB58" s="18">
        <f t="shared" si="25"/>
        <v>0</v>
      </c>
    </row>
    <row r="59" spans="1:28" x14ac:dyDescent="0.25">
      <c r="A59" s="16" t="s">
        <v>3</v>
      </c>
      <c r="B59" s="16" t="s">
        <v>18</v>
      </c>
      <c r="C59" s="16" t="s">
        <v>18</v>
      </c>
      <c r="D59" s="20" t="s">
        <v>117</v>
      </c>
      <c r="E59" s="20" t="s">
        <v>70</v>
      </c>
      <c r="F59" s="16" t="s">
        <v>7</v>
      </c>
      <c r="G59" s="16" t="s">
        <v>25</v>
      </c>
      <c r="H59" s="16">
        <f t="shared" si="27"/>
        <v>1800</v>
      </c>
      <c r="I59" s="16">
        <v>75</v>
      </c>
      <c r="J59" s="16">
        <v>1</v>
      </c>
      <c r="K59" s="21">
        <v>1116.5</v>
      </c>
      <c r="L59" s="18">
        <v>0</v>
      </c>
      <c r="M59" s="18">
        <v>0</v>
      </c>
      <c r="N59" s="18">
        <v>0</v>
      </c>
      <c r="O59" s="18">
        <v>0</v>
      </c>
      <c r="P59" s="18">
        <v>0</v>
      </c>
      <c r="Q59" s="18">
        <f t="shared" si="14"/>
        <v>14.886666666666667</v>
      </c>
      <c r="R59" s="18">
        <f t="shared" si="15"/>
        <v>0</v>
      </c>
      <c r="S59" s="18">
        <f t="shared" si="16"/>
        <v>0</v>
      </c>
      <c r="T59" s="18">
        <f t="shared" si="17"/>
        <v>0</v>
      </c>
      <c r="U59" s="18">
        <f t="shared" si="18"/>
        <v>0</v>
      </c>
      <c r="V59" s="18">
        <f t="shared" si="19"/>
        <v>0</v>
      </c>
      <c r="W59" s="18">
        <f t="shared" si="20"/>
        <v>0.19848888888888888</v>
      </c>
      <c r="X59" s="18">
        <f t="shared" si="21"/>
        <v>0</v>
      </c>
      <c r="Y59" s="18">
        <f t="shared" si="22"/>
        <v>0</v>
      </c>
      <c r="Z59" s="18">
        <f t="shared" si="23"/>
        <v>0</v>
      </c>
      <c r="AA59" s="18">
        <f t="shared" si="24"/>
        <v>0</v>
      </c>
      <c r="AB59" s="18">
        <f t="shared" si="25"/>
        <v>0</v>
      </c>
    </row>
    <row r="60" spans="1:28" x14ac:dyDescent="0.25">
      <c r="A60" s="16" t="s">
        <v>3</v>
      </c>
      <c r="B60" s="16" t="s">
        <v>18</v>
      </c>
      <c r="C60" s="16" t="s">
        <v>18</v>
      </c>
      <c r="D60" s="20" t="s">
        <v>120</v>
      </c>
      <c r="E60" s="20" t="s">
        <v>70</v>
      </c>
      <c r="F60" s="16" t="s">
        <v>7</v>
      </c>
      <c r="G60" s="16" t="s">
        <v>25</v>
      </c>
      <c r="H60" s="16">
        <f t="shared" si="27"/>
        <v>1800</v>
      </c>
      <c r="I60" s="16">
        <v>75</v>
      </c>
      <c r="J60" s="16">
        <v>1</v>
      </c>
      <c r="K60" s="18">
        <v>0</v>
      </c>
      <c r="L60" s="21">
        <v>648.5</v>
      </c>
      <c r="M60" s="18">
        <v>0</v>
      </c>
      <c r="N60" s="18">
        <v>0</v>
      </c>
      <c r="O60" s="18">
        <v>0</v>
      </c>
      <c r="P60" s="18">
        <v>0</v>
      </c>
      <c r="Q60" s="18">
        <f t="shared" si="14"/>
        <v>0</v>
      </c>
      <c r="R60" s="18">
        <f t="shared" si="15"/>
        <v>8.6466666666666665</v>
      </c>
      <c r="S60" s="18">
        <f t="shared" si="16"/>
        <v>0</v>
      </c>
      <c r="T60" s="18">
        <f t="shared" si="17"/>
        <v>0</v>
      </c>
      <c r="U60" s="18">
        <f t="shared" si="18"/>
        <v>0</v>
      </c>
      <c r="V60" s="18">
        <f t="shared" si="19"/>
        <v>0</v>
      </c>
      <c r="W60" s="18">
        <f t="shared" si="20"/>
        <v>0</v>
      </c>
      <c r="X60" s="18">
        <f t="shared" si="21"/>
        <v>0.11528888888888889</v>
      </c>
      <c r="Y60" s="18">
        <f t="shared" si="22"/>
        <v>0</v>
      </c>
      <c r="Z60" s="18">
        <f t="shared" si="23"/>
        <v>0</v>
      </c>
      <c r="AA60" s="18">
        <f t="shared" si="24"/>
        <v>0</v>
      </c>
      <c r="AB60" s="18">
        <f t="shared" si="25"/>
        <v>0</v>
      </c>
    </row>
    <row r="61" spans="1:28" x14ac:dyDescent="0.25">
      <c r="A61" s="16" t="s">
        <v>3</v>
      </c>
      <c r="B61" s="16" t="s">
        <v>18</v>
      </c>
      <c r="C61" s="16" t="s">
        <v>18</v>
      </c>
      <c r="D61" s="20" t="s">
        <v>121</v>
      </c>
      <c r="E61" s="20" t="s">
        <v>70</v>
      </c>
      <c r="F61" s="16" t="s">
        <v>7</v>
      </c>
      <c r="G61" s="16" t="s">
        <v>25</v>
      </c>
      <c r="H61" s="16">
        <f t="shared" si="27"/>
        <v>1800</v>
      </c>
      <c r="I61" s="16">
        <v>75</v>
      </c>
      <c r="J61" s="16">
        <v>1</v>
      </c>
      <c r="K61" s="18">
        <v>0</v>
      </c>
      <c r="L61" s="21">
        <v>649</v>
      </c>
      <c r="M61" s="18">
        <v>0</v>
      </c>
      <c r="N61" s="18">
        <v>0</v>
      </c>
      <c r="O61" s="18">
        <v>0</v>
      </c>
      <c r="P61" s="18">
        <v>0</v>
      </c>
      <c r="Q61" s="18">
        <f t="shared" si="14"/>
        <v>0</v>
      </c>
      <c r="R61" s="18">
        <f t="shared" si="15"/>
        <v>8.6533333333333342</v>
      </c>
      <c r="S61" s="18">
        <f t="shared" si="16"/>
        <v>0</v>
      </c>
      <c r="T61" s="18">
        <f t="shared" si="17"/>
        <v>0</v>
      </c>
      <c r="U61" s="18">
        <f t="shared" si="18"/>
        <v>0</v>
      </c>
      <c r="V61" s="18">
        <f t="shared" si="19"/>
        <v>0</v>
      </c>
      <c r="W61" s="18">
        <f t="shared" si="20"/>
        <v>0</v>
      </c>
      <c r="X61" s="18">
        <f t="shared" si="21"/>
        <v>0.11537777777777779</v>
      </c>
      <c r="Y61" s="18">
        <f t="shared" si="22"/>
        <v>0</v>
      </c>
      <c r="Z61" s="18">
        <f t="shared" si="23"/>
        <v>0</v>
      </c>
      <c r="AA61" s="18">
        <f t="shared" si="24"/>
        <v>0</v>
      </c>
      <c r="AB61" s="18">
        <f t="shared" si="25"/>
        <v>0</v>
      </c>
    </row>
    <row r="62" spans="1:28" x14ac:dyDescent="0.25">
      <c r="A62" s="16" t="s">
        <v>3</v>
      </c>
      <c r="B62" s="16" t="s">
        <v>18</v>
      </c>
      <c r="C62" s="16" t="s">
        <v>18</v>
      </c>
      <c r="D62" s="20" t="s">
        <v>122</v>
      </c>
      <c r="E62" s="20" t="s">
        <v>70</v>
      </c>
      <c r="F62" s="16" t="s">
        <v>7</v>
      </c>
      <c r="G62" s="16" t="s">
        <v>25</v>
      </c>
      <c r="H62" s="16">
        <f t="shared" si="27"/>
        <v>1800</v>
      </c>
      <c r="I62" s="16">
        <v>75</v>
      </c>
      <c r="J62" s="16">
        <v>1</v>
      </c>
      <c r="K62" s="18">
        <v>0</v>
      </c>
      <c r="L62" s="21">
        <v>907</v>
      </c>
      <c r="M62" s="18">
        <v>0</v>
      </c>
      <c r="N62" s="18">
        <v>0</v>
      </c>
      <c r="O62" s="18">
        <v>0</v>
      </c>
      <c r="P62" s="18">
        <v>0</v>
      </c>
      <c r="Q62" s="18">
        <f t="shared" si="14"/>
        <v>0</v>
      </c>
      <c r="R62" s="18">
        <f t="shared" si="15"/>
        <v>12.093333333333334</v>
      </c>
      <c r="S62" s="18">
        <f t="shared" si="16"/>
        <v>0</v>
      </c>
      <c r="T62" s="18">
        <f t="shared" si="17"/>
        <v>0</v>
      </c>
      <c r="U62" s="18">
        <f t="shared" si="18"/>
        <v>0</v>
      </c>
      <c r="V62" s="18">
        <f t="shared" si="19"/>
        <v>0</v>
      </c>
      <c r="W62" s="18">
        <f t="shared" si="20"/>
        <v>0</v>
      </c>
      <c r="X62" s="18">
        <f t="shared" si="21"/>
        <v>0.16124444444444444</v>
      </c>
      <c r="Y62" s="18">
        <f t="shared" si="22"/>
        <v>0</v>
      </c>
      <c r="Z62" s="18">
        <f t="shared" si="23"/>
        <v>0</v>
      </c>
      <c r="AA62" s="18">
        <f t="shared" si="24"/>
        <v>0</v>
      </c>
      <c r="AB62" s="18">
        <f t="shared" si="25"/>
        <v>0</v>
      </c>
    </row>
    <row r="63" spans="1:28" x14ac:dyDescent="0.25">
      <c r="A63" s="16" t="s">
        <v>3</v>
      </c>
      <c r="B63" s="16" t="s">
        <v>18</v>
      </c>
      <c r="C63" s="16" t="s">
        <v>18</v>
      </c>
      <c r="D63" s="20" t="s">
        <v>123</v>
      </c>
      <c r="E63" s="20" t="s">
        <v>70</v>
      </c>
      <c r="F63" s="16" t="s">
        <v>7</v>
      </c>
      <c r="G63" s="16" t="s">
        <v>25</v>
      </c>
      <c r="H63" s="16">
        <f t="shared" si="27"/>
        <v>1800</v>
      </c>
      <c r="I63" s="16">
        <v>75</v>
      </c>
      <c r="J63" s="16">
        <v>1</v>
      </c>
      <c r="K63" s="18">
        <v>0</v>
      </c>
      <c r="L63" s="21">
        <v>324</v>
      </c>
      <c r="M63" s="18">
        <v>0</v>
      </c>
      <c r="N63" s="18">
        <v>0</v>
      </c>
      <c r="O63" s="18">
        <v>0</v>
      </c>
      <c r="P63" s="18">
        <v>0</v>
      </c>
      <c r="Q63" s="18">
        <f t="shared" si="14"/>
        <v>0</v>
      </c>
      <c r="R63" s="18">
        <f t="shared" si="15"/>
        <v>4.32</v>
      </c>
      <c r="S63" s="18">
        <f t="shared" si="16"/>
        <v>0</v>
      </c>
      <c r="T63" s="18">
        <f t="shared" si="17"/>
        <v>0</v>
      </c>
      <c r="U63" s="18">
        <f t="shared" si="18"/>
        <v>0</v>
      </c>
      <c r="V63" s="18">
        <f t="shared" si="19"/>
        <v>0</v>
      </c>
      <c r="W63" s="18">
        <f t="shared" si="20"/>
        <v>0</v>
      </c>
      <c r="X63" s="18">
        <f t="shared" si="21"/>
        <v>5.7600000000000005E-2</v>
      </c>
      <c r="Y63" s="18">
        <f t="shared" si="22"/>
        <v>0</v>
      </c>
      <c r="Z63" s="18">
        <f t="shared" si="23"/>
        <v>0</v>
      </c>
      <c r="AA63" s="18">
        <f t="shared" si="24"/>
        <v>0</v>
      </c>
      <c r="AB63" s="18">
        <f t="shared" si="25"/>
        <v>0</v>
      </c>
    </row>
    <row r="64" spans="1:28" x14ac:dyDescent="0.25">
      <c r="A64" s="16" t="s">
        <v>3</v>
      </c>
      <c r="B64" s="16" t="s">
        <v>18</v>
      </c>
      <c r="C64" s="16" t="s">
        <v>18</v>
      </c>
      <c r="D64" s="20" t="s">
        <v>137</v>
      </c>
      <c r="E64" s="20" t="s">
        <v>70</v>
      </c>
      <c r="F64" s="16" t="s">
        <v>7</v>
      </c>
      <c r="G64" s="16" t="s">
        <v>25</v>
      </c>
      <c r="H64" s="16">
        <f t="shared" si="27"/>
        <v>1800</v>
      </c>
      <c r="I64" s="16">
        <v>75</v>
      </c>
      <c r="J64" s="16">
        <v>1</v>
      </c>
      <c r="K64" s="21">
        <v>1677.5</v>
      </c>
      <c r="L64" s="21">
        <v>487</v>
      </c>
      <c r="M64" s="18">
        <v>0</v>
      </c>
      <c r="N64" s="18">
        <v>0</v>
      </c>
      <c r="O64" s="18">
        <v>0</v>
      </c>
      <c r="P64" s="18">
        <v>0</v>
      </c>
      <c r="Q64" s="18">
        <f t="shared" si="14"/>
        <v>22.366666666666667</v>
      </c>
      <c r="R64" s="18">
        <f t="shared" si="15"/>
        <v>6.4933333333333332</v>
      </c>
      <c r="S64" s="18">
        <f t="shared" si="16"/>
        <v>0</v>
      </c>
      <c r="T64" s="18">
        <f t="shared" si="17"/>
        <v>0</v>
      </c>
      <c r="U64" s="18">
        <f t="shared" si="18"/>
        <v>0</v>
      </c>
      <c r="V64" s="18">
        <f t="shared" si="19"/>
        <v>0</v>
      </c>
      <c r="W64" s="18">
        <f t="shared" si="20"/>
        <v>0.29822222222222222</v>
      </c>
      <c r="X64" s="18">
        <f t="shared" si="21"/>
        <v>8.6577777777777781E-2</v>
      </c>
      <c r="Y64" s="18">
        <f t="shared" si="22"/>
        <v>0</v>
      </c>
      <c r="Z64" s="18">
        <f t="shared" si="23"/>
        <v>0</v>
      </c>
      <c r="AA64" s="18">
        <f t="shared" si="24"/>
        <v>0</v>
      </c>
      <c r="AB64" s="18">
        <f t="shared" si="25"/>
        <v>0</v>
      </c>
    </row>
    <row r="65" spans="1:28" x14ac:dyDescent="0.25">
      <c r="A65" s="16" t="s">
        <v>3</v>
      </c>
      <c r="B65" s="16" t="s">
        <v>18</v>
      </c>
      <c r="C65" s="16" t="s">
        <v>18</v>
      </c>
      <c r="D65" s="20" t="s">
        <v>138</v>
      </c>
      <c r="E65" s="20" t="s">
        <v>70</v>
      </c>
      <c r="F65" s="16" t="s">
        <v>7</v>
      </c>
      <c r="G65" s="16" t="s">
        <v>25</v>
      </c>
      <c r="H65" s="16">
        <f t="shared" si="27"/>
        <v>1800</v>
      </c>
      <c r="I65" s="16">
        <v>75</v>
      </c>
      <c r="J65" s="16">
        <v>1</v>
      </c>
      <c r="K65" s="21">
        <v>2125</v>
      </c>
      <c r="L65" s="18">
        <v>0</v>
      </c>
      <c r="M65" s="18">
        <v>0</v>
      </c>
      <c r="N65" s="18">
        <v>0</v>
      </c>
      <c r="O65" s="18">
        <v>0</v>
      </c>
      <c r="P65" s="18">
        <v>0</v>
      </c>
      <c r="Q65" s="18">
        <f t="shared" si="14"/>
        <v>28.333333333333332</v>
      </c>
      <c r="R65" s="18">
        <f t="shared" si="15"/>
        <v>0</v>
      </c>
      <c r="S65" s="18">
        <f t="shared" si="16"/>
        <v>0</v>
      </c>
      <c r="T65" s="18">
        <f t="shared" si="17"/>
        <v>0</v>
      </c>
      <c r="U65" s="18">
        <f t="shared" si="18"/>
        <v>0</v>
      </c>
      <c r="V65" s="18">
        <f t="shared" si="19"/>
        <v>0</v>
      </c>
      <c r="W65" s="18">
        <f t="shared" si="20"/>
        <v>0.37777777777777777</v>
      </c>
      <c r="X65" s="18">
        <f t="shared" si="21"/>
        <v>0</v>
      </c>
      <c r="Y65" s="18">
        <f t="shared" si="22"/>
        <v>0</v>
      </c>
      <c r="Z65" s="18">
        <f t="shared" si="23"/>
        <v>0</v>
      </c>
      <c r="AA65" s="18">
        <f t="shared" si="24"/>
        <v>0</v>
      </c>
      <c r="AB65" s="18">
        <f t="shared" si="25"/>
        <v>0</v>
      </c>
    </row>
    <row r="66" spans="1:28" x14ac:dyDescent="0.25">
      <c r="A66" s="16" t="s">
        <v>3</v>
      </c>
      <c r="B66" s="16" t="s">
        <v>18</v>
      </c>
      <c r="C66" s="16" t="s">
        <v>18</v>
      </c>
      <c r="D66" s="20" t="s">
        <v>139</v>
      </c>
      <c r="E66" s="20" t="s">
        <v>70</v>
      </c>
      <c r="F66" s="16" t="s">
        <v>7</v>
      </c>
      <c r="G66" s="16" t="s">
        <v>25</v>
      </c>
      <c r="H66" s="16">
        <f t="shared" si="27"/>
        <v>1800</v>
      </c>
      <c r="I66" s="16">
        <v>75</v>
      </c>
      <c r="J66" s="16">
        <v>1</v>
      </c>
      <c r="K66" s="21">
        <v>2235</v>
      </c>
      <c r="L66" s="18">
        <v>0</v>
      </c>
      <c r="M66" s="18">
        <v>0</v>
      </c>
      <c r="N66" s="18">
        <v>0</v>
      </c>
      <c r="O66" s="18">
        <v>0</v>
      </c>
      <c r="P66" s="18">
        <v>0</v>
      </c>
      <c r="Q66" s="18">
        <f t="shared" ref="Q66:Q72" si="28">K66/$I66</f>
        <v>29.8</v>
      </c>
      <c r="R66" s="18">
        <f t="shared" ref="R66:R72" si="29">L66/$I66</f>
        <v>0</v>
      </c>
      <c r="S66" s="18">
        <f t="shared" ref="S66:S72" si="30">M66/$I66</f>
        <v>0</v>
      </c>
      <c r="T66" s="18">
        <f t="shared" ref="T66:T72" si="31">N66/$I66</f>
        <v>0</v>
      </c>
      <c r="U66" s="18">
        <f t="shared" ref="U66:U72" si="32">O66/$I66</f>
        <v>0</v>
      </c>
      <c r="V66" s="18">
        <f t="shared" ref="V66:V72" si="33">P66/$I66</f>
        <v>0</v>
      </c>
      <c r="W66" s="18">
        <f t="shared" ref="W66:W72" si="34">Q66/$I66</f>
        <v>0.39733333333333332</v>
      </c>
      <c r="X66" s="18">
        <f t="shared" ref="X66:X72" si="35">R66/$I66</f>
        <v>0</v>
      </c>
      <c r="Y66" s="18">
        <f t="shared" ref="Y66:Y72" si="36">S66/$I66</f>
        <v>0</v>
      </c>
      <c r="Z66" s="18">
        <f t="shared" ref="Z66:Z72" si="37">T66/$I66</f>
        <v>0</v>
      </c>
      <c r="AA66" s="18">
        <f t="shared" ref="AA66:AA72" si="38">U66/$I66</f>
        <v>0</v>
      </c>
      <c r="AB66" s="18">
        <f t="shared" ref="AB66:AB72" si="39">V66/$I66</f>
        <v>0</v>
      </c>
    </row>
    <row r="67" spans="1:28" x14ac:dyDescent="0.25">
      <c r="A67" s="16" t="s">
        <v>3</v>
      </c>
      <c r="B67" s="16" t="s">
        <v>18</v>
      </c>
      <c r="C67" s="16" t="s">
        <v>18</v>
      </c>
      <c r="D67" s="20" t="s">
        <v>140</v>
      </c>
      <c r="E67" s="20" t="s">
        <v>70</v>
      </c>
      <c r="F67" s="16" t="s">
        <v>7</v>
      </c>
      <c r="G67" s="16" t="s">
        <v>25</v>
      </c>
      <c r="H67" s="16">
        <f t="shared" si="27"/>
        <v>1800</v>
      </c>
      <c r="I67" s="16">
        <v>75</v>
      </c>
      <c r="J67" s="16">
        <v>1</v>
      </c>
      <c r="K67" s="21">
        <v>2973.5</v>
      </c>
      <c r="L67" s="18">
        <v>0</v>
      </c>
      <c r="M67" s="18">
        <v>0</v>
      </c>
      <c r="N67" s="18">
        <v>0</v>
      </c>
      <c r="O67" s="18">
        <v>0</v>
      </c>
      <c r="P67" s="18">
        <v>0</v>
      </c>
      <c r="Q67" s="18">
        <f t="shared" si="28"/>
        <v>39.646666666666668</v>
      </c>
      <c r="R67" s="18">
        <f t="shared" si="29"/>
        <v>0</v>
      </c>
      <c r="S67" s="18">
        <f t="shared" si="30"/>
        <v>0</v>
      </c>
      <c r="T67" s="18">
        <f t="shared" si="31"/>
        <v>0</v>
      </c>
      <c r="U67" s="18">
        <f t="shared" si="32"/>
        <v>0</v>
      </c>
      <c r="V67" s="18">
        <f t="shared" si="33"/>
        <v>0</v>
      </c>
      <c r="W67" s="18">
        <f t="shared" si="34"/>
        <v>0.52862222222222222</v>
      </c>
      <c r="X67" s="18">
        <f t="shared" si="35"/>
        <v>0</v>
      </c>
      <c r="Y67" s="18">
        <f t="shared" si="36"/>
        <v>0</v>
      </c>
      <c r="Z67" s="18">
        <f t="shared" si="37"/>
        <v>0</v>
      </c>
      <c r="AA67" s="18">
        <f t="shared" si="38"/>
        <v>0</v>
      </c>
      <c r="AB67" s="18">
        <f t="shared" si="39"/>
        <v>0</v>
      </c>
    </row>
    <row r="68" spans="1:28" x14ac:dyDescent="0.25">
      <c r="A68" s="16" t="s">
        <v>3</v>
      </c>
      <c r="B68" s="16" t="s">
        <v>18</v>
      </c>
      <c r="C68" s="16" t="s">
        <v>18</v>
      </c>
      <c r="D68" s="20" t="s">
        <v>141</v>
      </c>
      <c r="E68" s="20" t="s">
        <v>70</v>
      </c>
      <c r="F68" s="16" t="s">
        <v>7</v>
      </c>
      <c r="G68" s="16" t="s">
        <v>25</v>
      </c>
      <c r="H68" s="16">
        <f t="shared" si="27"/>
        <v>1800</v>
      </c>
      <c r="I68" s="16">
        <v>75</v>
      </c>
      <c r="J68" s="16">
        <v>1</v>
      </c>
      <c r="K68" s="21">
        <v>1116.5</v>
      </c>
      <c r="L68" s="18">
        <v>0</v>
      </c>
      <c r="M68" s="18">
        <v>0</v>
      </c>
      <c r="N68" s="18">
        <v>0</v>
      </c>
      <c r="O68" s="18">
        <v>0</v>
      </c>
      <c r="P68" s="18">
        <v>0</v>
      </c>
      <c r="Q68" s="18">
        <f t="shared" si="28"/>
        <v>14.886666666666667</v>
      </c>
      <c r="R68" s="18">
        <f t="shared" si="29"/>
        <v>0</v>
      </c>
      <c r="S68" s="18">
        <f t="shared" si="30"/>
        <v>0</v>
      </c>
      <c r="T68" s="18">
        <f t="shared" si="31"/>
        <v>0</v>
      </c>
      <c r="U68" s="18">
        <f t="shared" si="32"/>
        <v>0</v>
      </c>
      <c r="V68" s="18">
        <f t="shared" si="33"/>
        <v>0</v>
      </c>
      <c r="W68" s="18">
        <f t="shared" si="34"/>
        <v>0.19848888888888888</v>
      </c>
      <c r="X68" s="18">
        <f t="shared" si="35"/>
        <v>0</v>
      </c>
      <c r="Y68" s="18">
        <f t="shared" si="36"/>
        <v>0</v>
      </c>
      <c r="Z68" s="18">
        <f t="shared" si="37"/>
        <v>0</v>
      </c>
      <c r="AA68" s="18">
        <f t="shared" si="38"/>
        <v>0</v>
      </c>
      <c r="AB68" s="18">
        <f t="shared" si="39"/>
        <v>0</v>
      </c>
    </row>
    <row r="69" spans="1:28" x14ac:dyDescent="0.25">
      <c r="A69" s="16" t="s">
        <v>3</v>
      </c>
      <c r="B69" s="16" t="s">
        <v>18</v>
      </c>
      <c r="C69" s="16" t="s">
        <v>18</v>
      </c>
      <c r="D69" s="20" t="s">
        <v>144</v>
      </c>
      <c r="E69" s="20" t="s">
        <v>70</v>
      </c>
      <c r="F69" s="16" t="s">
        <v>7</v>
      </c>
      <c r="G69" s="16" t="s">
        <v>25</v>
      </c>
      <c r="H69" s="16">
        <f t="shared" si="27"/>
        <v>1800</v>
      </c>
      <c r="I69" s="16">
        <v>75</v>
      </c>
      <c r="J69" s="16">
        <v>1</v>
      </c>
      <c r="K69" s="18">
        <v>0</v>
      </c>
      <c r="L69" s="21">
        <v>648.5</v>
      </c>
      <c r="M69" s="18">
        <v>0</v>
      </c>
      <c r="N69" s="18">
        <v>0</v>
      </c>
      <c r="O69" s="18">
        <v>0</v>
      </c>
      <c r="P69" s="18">
        <v>0</v>
      </c>
      <c r="Q69" s="18">
        <f t="shared" si="28"/>
        <v>0</v>
      </c>
      <c r="R69" s="18">
        <f t="shared" si="29"/>
        <v>8.6466666666666665</v>
      </c>
      <c r="S69" s="18">
        <f t="shared" si="30"/>
        <v>0</v>
      </c>
      <c r="T69" s="18">
        <f t="shared" si="31"/>
        <v>0</v>
      </c>
      <c r="U69" s="18">
        <f t="shared" si="32"/>
        <v>0</v>
      </c>
      <c r="V69" s="18">
        <f t="shared" si="33"/>
        <v>0</v>
      </c>
      <c r="W69" s="18">
        <f t="shared" si="34"/>
        <v>0</v>
      </c>
      <c r="X69" s="18">
        <f t="shared" si="35"/>
        <v>0.11528888888888889</v>
      </c>
      <c r="Y69" s="18">
        <f t="shared" si="36"/>
        <v>0</v>
      </c>
      <c r="Z69" s="18">
        <f t="shared" si="37"/>
        <v>0</v>
      </c>
      <c r="AA69" s="18">
        <f t="shared" si="38"/>
        <v>0</v>
      </c>
      <c r="AB69" s="18">
        <f t="shared" si="39"/>
        <v>0</v>
      </c>
    </row>
    <row r="70" spans="1:28" x14ac:dyDescent="0.25">
      <c r="A70" s="16" t="s">
        <v>3</v>
      </c>
      <c r="B70" s="16" t="s">
        <v>18</v>
      </c>
      <c r="C70" s="16" t="s">
        <v>18</v>
      </c>
      <c r="D70" s="20" t="s">
        <v>145</v>
      </c>
      <c r="E70" s="20" t="s">
        <v>70</v>
      </c>
      <c r="F70" s="16" t="s">
        <v>7</v>
      </c>
      <c r="G70" s="16" t="s">
        <v>25</v>
      </c>
      <c r="H70" s="16">
        <f t="shared" si="27"/>
        <v>1800</v>
      </c>
      <c r="I70" s="16">
        <v>75</v>
      </c>
      <c r="J70" s="16">
        <v>1</v>
      </c>
      <c r="K70" s="18">
        <v>0</v>
      </c>
      <c r="L70" s="21">
        <v>649</v>
      </c>
      <c r="M70" s="18">
        <v>0</v>
      </c>
      <c r="N70" s="18">
        <v>0</v>
      </c>
      <c r="O70" s="18">
        <v>0</v>
      </c>
      <c r="P70" s="18">
        <v>0</v>
      </c>
      <c r="Q70" s="18">
        <f t="shared" si="28"/>
        <v>0</v>
      </c>
      <c r="R70" s="18">
        <f t="shared" si="29"/>
        <v>8.6533333333333342</v>
      </c>
      <c r="S70" s="18">
        <f t="shared" si="30"/>
        <v>0</v>
      </c>
      <c r="T70" s="18">
        <f t="shared" si="31"/>
        <v>0</v>
      </c>
      <c r="U70" s="18">
        <f t="shared" si="32"/>
        <v>0</v>
      </c>
      <c r="V70" s="18">
        <f t="shared" si="33"/>
        <v>0</v>
      </c>
      <c r="W70" s="18">
        <f t="shared" si="34"/>
        <v>0</v>
      </c>
      <c r="X70" s="18">
        <f t="shared" si="35"/>
        <v>0.11537777777777779</v>
      </c>
      <c r="Y70" s="18">
        <f t="shared" si="36"/>
        <v>0</v>
      </c>
      <c r="Z70" s="18">
        <f t="shared" si="37"/>
        <v>0</v>
      </c>
      <c r="AA70" s="18">
        <f t="shared" si="38"/>
        <v>0</v>
      </c>
      <c r="AB70" s="18">
        <f t="shared" si="39"/>
        <v>0</v>
      </c>
    </row>
    <row r="71" spans="1:28" x14ac:dyDescent="0.25">
      <c r="A71" s="16" t="s">
        <v>3</v>
      </c>
      <c r="B71" s="16" t="s">
        <v>18</v>
      </c>
      <c r="C71" s="16" t="s">
        <v>18</v>
      </c>
      <c r="D71" s="20" t="s">
        <v>146</v>
      </c>
      <c r="E71" s="20" t="s">
        <v>70</v>
      </c>
      <c r="F71" s="16" t="s">
        <v>7</v>
      </c>
      <c r="G71" s="16" t="s">
        <v>25</v>
      </c>
      <c r="H71" s="16">
        <f t="shared" si="27"/>
        <v>1800</v>
      </c>
      <c r="I71" s="16">
        <v>75</v>
      </c>
      <c r="J71" s="16">
        <v>1</v>
      </c>
      <c r="K71" s="18">
        <v>0</v>
      </c>
      <c r="L71" s="21">
        <v>907</v>
      </c>
      <c r="M71" s="18">
        <v>0</v>
      </c>
      <c r="N71" s="18">
        <v>0</v>
      </c>
      <c r="O71" s="18">
        <v>0</v>
      </c>
      <c r="P71" s="18">
        <v>0</v>
      </c>
      <c r="Q71" s="18">
        <f t="shared" si="28"/>
        <v>0</v>
      </c>
      <c r="R71" s="18">
        <f t="shared" si="29"/>
        <v>12.093333333333334</v>
      </c>
      <c r="S71" s="18">
        <f t="shared" si="30"/>
        <v>0</v>
      </c>
      <c r="T71" s="18">
        <f t="shared" si="31"/>
        <v>0</v>
      </c>
      <c r="U71" s="18">
        <f t="shared" si="32"/>
        <v>0</v>
      </c>
      <c r="V71" s="18">
        <f t="shared" si="33"/>
        <v>0</v>
      </c>
      <c r="W71" s="18">
        <f t="shared" si="34"/>
        <v>0</v>
      </c>
      <c r="X71" s="18">
        <f t="shared" si="35"/>
        <v>0.16124444444444444</v>
      </c>
      <c r="Y71" s="18">
        <f t="shared" si="36"/>
        <v>0</v>
      </c>
      <c r="Z71" s="18">
        <f t="shared" si="37"/>
        <v>0</v>
      </c>
      <c r="AA71" s="18">
        <f t="shared" si="38"/>
        <v>0</v>
      </c>
      <c r="AB71" s="18">
        <f t="shared" si="39"/>
        <v>0</v>
      </c>
    </row>
    <row r="72" spans="1:28" x14ac:dyDescent="0.25">
      <c r="A72" s="16" t="s">
        <v>3</v>
      </c>
      <c r="B72" s="16" t="s">
        <v>18</v>
      </c>
      <c r="C72" s="16" t="s">
        <v>18</v>
      </c>
      <c r="D72" s="20" t="s">
        <v>147</v>
      </c>
      <c r="E72" s="20" t="s">
        <v>70</v>
      </c>
      <c r="F72" s="16" t="s">
        <v>7</v>
      </c>
      <c r="G72" s="16" t="s">
        <v>25</v>
      </c>
      <c r="H72" s="16">
        <f t="shared" si="27"/>
        <v>1800</v>
      </c>
      <c r="I72" s="16">
        <v>75</v>
      </c>
      <c r="J72" s="16">
        <v>1</v>
      </c>
      <c r="K72" s="18">
        <v>0</v>
      </c>
      <c r="L72" s="21">
        <v>324</v>
      </c>
      <c r="M72" s="18">
        <v>0</v>
      </c>
      <c r="N72" s="18">
        <v>0</v>
      </c>
      <c r="O72" s="18">
        <v>0</v>
      </c>
      <c r="P72" s="18">
        <v>0</v>
      </c>
      <c r="Q72" s="18">
        <f t="shared" si="28"/>
        <v>0</v>
      </c>
      <c r="R72" s="18">
        <f t="shared" si="29"/>
        <v>4.32</v>
      </c>
      <c r="S72" s="18">
        <f t="shared" si="30"/>
        <v>0</v>
      </c>
      <c r="T72" s="18">
        <f t="shared" si="31"/>
        <v>0</v>
      </c>
      <c r="U72" s="18">
        <f t="shared" si="32"/>
        <v>0</v>
      </c>
      <c r="V72" s="18">
        <f t="shared" si="33"/>
        <v>0</v>
      </c>
      <c r="W72" s="18">
        <f t="shared" si="34"/>
        <v>0</v>
      </c>
      <c r="X72" s="18">
        <f t="shared" si="35"/>
        <v>5.7600000000000005E-2</v>
      </c>
      <c r="Y72" s="18">
        <f t="shared" si="36"/>
        <v>0</v>
      </c>
      <c r="Z72" s="18">
        <f t="shared" si="37"/>
        <v>0</v>
      </c>
      <c r="AA72" s="18">
        <f t="shared" si="38"/>
        <v>0</v>
      </c>
      <c r="AB72" s="18">
        <f t="shared" si="39"/>
        <v>0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8D05-F30F-4C75-A503-BD608122E3A1}">
  <sheetPr codeName="Sheet2"/>
  <dimension ref="A1:F63"/>
  <sheetViews>
    <sheetView workbookViewId="0">
      <selection sqref="A1:F63"/>
    </sheetView>
  </sheetViews>
  <sheetFormatPr defaultRowHeight="15" x14ac:dyDescent="0.25"/>
  <cols>
    <col min="1" max="1" width="15.28515625" style="15" customWidth="1"/>
    <col min="2" max="6" width="19.28515625" style="15" customWidth="1"/>
    <col min="7" max="16384" width="9.140625" style="15"/>
  </cols>
  <sheetData>
    <row r="1" spans="1:6" x14ac:dyDescent="0.25">
      <c r="A1" s="15" t="s">
        <v>0</v>
      </c>
      <c r="B1" s="15" t="s">
        <v>156</v>
      </c>
      <c r="C1" s="15" t="s">
        <v>1</v>
      </c>
      <c r="D1" s="15" t="s">
        <v>2</v>
      </c>
      <c r="E1" s="15" t="s">
        <v>4</v>
      </c>
      <c r="F1" s="15" t="s">
        <v>150</v>
      </c>
    </row>
    <row r="2" spans="1:6" x14ac:dyDescent="0.25">
      <c r="A2" s="15" t="s">
        <v>3</v>
      </c>
      <c r="B2" s="15" t="s">
        <v>80</v>
      </c>
      <c r="C2" s="15" t="s">
        <v>18</v>
      </c>
      <c r="D2" s="15" t="s">
        <v>7</v>
      </c>
      <c r="E2" s="15" t="s">
        <v>25</v>
      </c>
      <c r="F2" s="15">
        <v>6031</v>
      </c>
    </row>
    <row r="3" spans="1:6" x14ac:dyDescent="0.25">
      <c r="A3" s="15" t="s">
        <v>3</v>
      </c>
      <c r="B3" s="15" t="s">
        <v>80</v>
      </c>
      <c r="C3" s="15" t="s">
        <v>17</v>
      </c>
      <c r="D3" s="15" t="s">
        <v>5</v>
      </c>
      <c r="E3" s="15" t="s">
        <v>24</v>
      </c>
      <c r="F3" s="15">
        <v>4321</v>
      </c>
    </row>
    <row r="4" spans="1:6" x14ac:dyDescent="0.25">
      <c r="A4" s="15" t="s">
        <v>3</v>
      </c>
      <c r="B4" s="15" t="s">
        <v>80</v>
      </c>
      <c r="C4" s="15" t="s">
        <v>22</v>
      </c>
      <c r="D4" s="15" t="s">
        <v>8</v>
      </c>
      <c r="E4" s="15" t="s">
        <v>26</v>
      </c>
      <c r="F4" s="15">
        <v>3456</v>
      </c>
    </row>
    <row r="5" spans="1:6" x14ac:dyDescent="0.25">
      <c r="A5" s="15" t="s">
        <v>3</v>
      </c>
      <c r="B5" s="15" t="s">
        <v>80</v>
      </c>
      <c r="C5" s="15" t="s">
        <v>20</v>
      </c>
      <c r="D5" s="15" t="s">
        <v>8</v>
      </c>
      <c r="E5" s="15" t="s">
        <v>26</v>
      </c>
      <c r="F5" s="15">
        <v>3371</v>
      </c>
    </row>
    <row r="6" spans="1:6" x14ac:dyDescent="0.25">
      <c r="A6" s="15" t="s">
        <v>3</v>
      </c>
      <c r="B6" s="15" t="s">
        <v>80</v>
      </c>
      <c r="C6" s="15" t="s">
        <v>16</v>
      </c>
      <c r="D6" s="15" t="s">
        <v>5</v>
      </c>
      <c r="E6" s="15" t="s">
        <v>24</v>
      </c>
      <c r="F6" s="15">
        <v>3111</v>
      </c>
    </row>
    <row r="7" spans="1:6" x14ac:dyDescent="0.25">
      <c r="A7" s="15" t="s">
        <v>3</v>
      </c>
      <c r="B7" s="15" t="s">
        <v>80</v>
      </c>
      <c r="C7" s="15" t="s">
        <v>19</v>
      </c>
      <c r="D7" s="15" t="s">
        <v>8</v>
      </c>
      <c r="E7" s="15" t="s">
        <v>26</v>
      </c>
      <c r="F7" s="15">
        <v>3028</v>
      </c>
    </row>
    <row r="8" spans="1:6" x14ac:dyDescent="0.25">
      <c r="A8" s="15" t="s">
        <v>3</v>
      </c>
      <c r="B8" s="15" t="s">
        <v>80</v>
      </c>
      <c r="C8" s="15" t="s">
        <v>14</v>
      </c>
      <c r="D8" s="15" t="s">
        <v>6</v>
      </c>
      <c r="E8" s="15" t="s">
        <v>23</v>
      </c>
      <c r="F8" s="15">
        <v>1297</v>
      </c>
    </row>
    <row r="9" spans="1:6" x14ac:dyDescent="0.25">
      <c r="A9" s="15" t="s">
        <v>3</v>
      </c>
      <c r="B9" s="15" t="s">
        <v>80</v>
      </c>
      <c r="C9" s="15" t="s">
        <v>10</v>
      </c>
      <c r="D9" s="15" t="s">
        <v>6</v>
      </c>
      <c r="E9" s="15" t="s">
        <v>23</v>
      </c>
      <c r="F9" s="15">
        <v>1167</v>
      </c>
    </row>
    <row r="10" spans="1:6" x14ac:dyDescent="0.25">
      <c r="A10" s="15" t="s">
        <v>3</v>
      </c>
      <c r="B10" s="15" t="s">
        <v>80</v>
      </c>
      <c r="C10" s="15" t="s">
        <v>13</v>
      </c>
      <c r="D10" s="15" t="s">
        <v>6</v>
      </c>
      <c r="E10" s="15" t="s">
        <v>23</v>
      </c>
      <c r="F10" s="15">
        <v>1037</v>
      </c>
    </row>
    <row r="11" spans="1:6" x14ac:dyDescent="0.25">
      <c r="A11" s="15" t="s">
        <v>3</v>
      </c>
      <c r="B11" s="15" t="s">
        <v>80</v>
      </c>
      <c r="C11" s="15" t="s">
        <v>12</v>
      </c>
      <c r="D11" s="15" t="s">
        <v>6</v>
      </c>
      <c r="E11" s="15" t="s">
        <v>23</v>
      </c>
      <c r="F11" s="15">
        <v>830</v>
      </c>
    </row>
    <row r="12" spans="1:6" x14ac:dyDescent="0.25">
      <c r="A12" s="15" t="s">
        <v>3</v>
      </c>
      <c r="B12" s="15" t="s">
        <v>80</v>
      </c>
      <c r="C12" s="15" t="s">
        <v>21</v>
      </c>
      <c r="D12" s="15" t="s">
        <v>8</v>
      </c>
      <c r="E12" s="15" t="s">
        <v>26</v>
      </c>
      <c r="F12" s="15">
        <v>634</v>
      </c>
    </row>
    <row r="13" spans="1:6" x14ac:dyDescent="0.25">
      <c r="A13" s="15" t="s">
        <v>3</v>
      </c>
      <c r="B13" s="15" t="s">
        <v>80</v>
      </c>
      <c r="C13" s="15" t="s">
        <v>11</v>
      </c>
      <c r="D13" s="15" t="s">
        <v>6</v>
      </c>
      <c r="E13" s="15" t="s">
        <v>23</v>
      </c>
      <c r="F13" s="15">
        <v>624</v>
      </c>
    </row>
    <row r="14" spans="1:6" x14ac:dyDescent="0.25">
      <c r="A14" s="15" t="s">
        <v>3</v>
      </c>
      <c r="B14" s="15" t="s">
        <v>80</v>
      </c>
      <c r="C14" s="15" t="s">
        <v>9</v>
      </c>
      <c r="D14" s="15" t="s">
        <v>6</v>
      </c>
      <c r="E14" s="15" t="s">
        <v>23</v>
      </c>
      <c r="F14" s="15">
        <v>415</v>
      </c>
    </row>
    <row r="15" spans="1:6" x14ac:dyDescent="0.25">
      <c r="A15" s="15" t="s">
        <v>3</v>
      </c>
      <c r="B15" s="15" t="s">
        <v>80</v>
      </c>
      <c r="C15" s="15" t="s">
        <v>15</v>
      </c>
      <c r="D15" s="15" t="s">
        <v>6</v>
      </c>
      <c r="E15" s="15" t="s">
        <v>23</v>
      </c>
      <c r="F15" s="15">
        <v>131</v>
      </c>
    </row>
    <row r="16" spans="1:6" x14ac:dyDescent="0.25">
      <c r="A16" s="15" t="s">
        <v>3</v>
      </c>
      <c r="B16" s="15" t="s">
        <v>79</v>
      </c>
      <c r="C16" s="15" t="s">
        <v>16</v>
      </c>
      <c r="D16" s="15" t="s">
        <v>5</v>
      </c>
      <c r="E16" s="15" t="s">
        <v>24</v>
      </c>
      <c r="F16" s="15">
        <v>2400</v>
      </c>
    </row>
    <row r="17" spans="1:6" x14ac:dyDescent="0.25">
      <c r="A17" s="15" t="s">
        <v>3</v>
      </c>
      <c r="B17" s="15" t="s">
        <v>79</v>
      </c>
      <c r="C17" s="15" t="s">
        <v>17</v>
      </c>
      <c r="D17" s="15" t="s">
        <v>5</v>
      </c>
      <c r="E17" s="15" t="s">
        <v>24</v>
      </c>
      <c r="F17" s="15">
        <v>2400</v>
      </c>
    </row>
    <row r="18" spans="1:6" x14ac:dyDescent="0.25">
      <c r="A18" s="15" t="s">
        <v>3</v>
      </c>
      <c r="B18" s="15" t="s">
        <v>83</v>
      </c>
      <c r="C18" s="15" t="s">
        <v>18</v>
      </c>
      <c r="D18" s="15" t="s">
        <v>7</v>
      </c>
      <c r="E18" s="15" t="s">
        <v>25</v>
      </c>
      <c r="F18" s="15">
        <v>240</v>
      </c>
    </row>
    <row r="19" spans="1:6" x14ac:dyDescent="0.25">
      <c r="A19" s="15" t="s">
        <v>3</v>
      </c>
      <c r="B19" s="15" t="s">
        <v>83</v>
      </c>
      <c r="C19" s="17" t="s">
        <v>14</v>
      </c>
      <c r="D19" s="15" t="s">
        <v>6</v>
      </c>
      <c r="E19" s="15" t="s">
        <v>23</v>
      </c>
      <c r="F19" s="15">
        <v>120</v>
      </c>
    </row>
    <row r="20" spans="1:6" x14ac:dyDescent="0.25">
      <c r="A20" s="15" t="s">
        <v>3</v>
      </c>
      <c r="B20" s="15" t="s">
        <v>81</v>
      </c>
      <c r="C20" s="15" t="s">
        <v>18</v>
      </c>
      <c r="D20" s="15" t="s">
        <v>7</v>
      </c>
      <c r="E20" s="15" t="s">
        <v>25</v>
      </c>
      <c r="F20" s="15">
        <v>5803</v>
      </c>
    </row>
    <row r="21" spans="1:6" x14ac:dyDescent="0.25">
      <c r="A21" s="15" t="s">
        <v>3</v>
      </c>
      <c r="B21" s="15" t="s">
        <v>81</v>
      </c>
      <c r="C21" s="15" t="s">
        <v>19</v>
      </c>
      <c r="D21" s="15" t="s">
        <v>8</v>
      </c>
      <c r="E21" s="15" t="s">
        <v>26</v>
      </c>
      <c r="F21" s="15">
        <v>5292</v>
      </c>
    </row>
    <row r="22" spans="1:6" x14ac:dyDescent="0.25">
      <c r="A22" s="15" t="s">
        <v>3</v>
      </c>
      <c r="B22" s="15" t="s">
        <v>81</v>
      </c>
      <c r="C22" s="15" t="s">
        <v>17</v>
      </c>
      <c r="D22" s="15" t="s">
        <v>5</v>
      </c>
      <c r="E22" s="15" t="s">
        <v>24</v>
      </c>
      <c r="F22" s="15">
        <v>4081</v>
      </c>
    </row>
    <row r="23" spans="1:6" x14ac:dyDescent="0.25">
      <c r="A23" s="15" t="s">
        <v>3</v>
      </c>
      <c r="B23" s="15" t="s">
        <v>81</v>
      </c>
      <c r="C23" s="15" t="s">
        <v>22</v>
      </c>
      <c r="D23" s="15" t="s">
        <v>8</v>
      </c>
      <c r="E23" s="15" t="s">
        <v>26</v>
      </c>
      <c r="F23" s="15">
        <v>4032</v>
      </c>
    </row>
    <row r="24" spans="1:6" x14ac:dyDescent="0.25">
      <c r="A24" s="15" t="s">
        <v>3</v>
      </c>
      <c r="B24" s="15" t="s">
        <v>81</v>
      </c>
      <c r="C24" s="15" t="s">
        <v>20</v>
      </c>
      <c r="D24" s="15" t="s">
        <v>8</v>
      </c>
      <c r="E24" s="15" t="s">
        <v>26</v>
      </c>
      <c r="F24" s="15">
        <v>3933</v>
      </c>
    </row>
    <row r="25" spans="1:6" x14ac:dyDescent="0.25">
      <c r="A25" s="15" t="s">
        <v>3</v>
      </c>
      <c r="B25" s="15" t="s">
        <v>81</v>
      </c>
      <c r="C25" s="15" t="s">
        <v>16</v>
      </c>
      <c r="D25" s="15" t="s">
        <v>5</v>
      </c>
      <c r="E25" s="15" t="s">
        <v>24</v>
      </c>
      <c r="F25" s="15">
        <v>3456</v>
      </c>
    </row>
    <row r="26" spans="1:6" x14ac:dyDescent="0.25">
      <c r="A26" s="15" t="s">
        <v>3</v>
      </c>
      <c r="B26" s="15" t="s">
        <v>81</v>
      </c>
      <c r="C26" s="15" t="s">
        <v>14</v>
      </c>
      <c r="D26" s="15" t="s">
        <v>6</v>
      </c>
      <c r="E26" s="15" t="s">
        <v>23</v>
      </c>
      <c r="F26" s="15">
        <v>1441</v>
      </c>
    </row>
    <row r="27" spans="1:6" x14ac:dyDescent="0.25">
      <c r="A27" s="15" t="s">
        <v>3</v>
      </c>
      <c r="B27" s="15" t="s">
        <v>81</v>
      </c>
      <c r="C27" s="15" t="s">
        <v>10</v>
      </c>
      <c r="D27" s="15" t="s">
        <v>6</v>
      </c>
      <c r="E27" s="15" t="s">
        <v>23</v>
      </c>
      <c r="F27" s="15">
        <v>1297</v>
      </c>
    </row>
    <row r="28" spans="1:6" x14ac:dyDescent="0.25">
      <c r="A28" s="15" t="s">
        <v>3</v>
      </c>
      <c r="B28" s="15" t="s">
        <v>81</v>
      </c>
      <c r="C28" s="15" t="s">
        <v>13</v>
      </c>
      <c r="D28" s="15" t="s">
        <v>6</v>
      </c>
      <c r="E28" s="15" t="s">
        <v>23</v>
      </c>
      <c r="F28" s="15">
        <v>1153</v>
      </c>
    </row>
    <row r="29" spans="1:6" x14ac:dyDescent="0.25">
      <c r="A29" s="15" t="s">
        <v>3</v>
      </c>
      <c r="B29" s="15" t="s">
        <v>81</v>
      </c>
      <c r="C29" s="15" t="s">
        <v>12</v>
      </c>
      <c r="D29" s="15" t="s">
        <v>6</v>
      </c>
      <c r="E29" s="15" t="s">
        <v>23</v>
      </c>
      <c r="F29" s="15">
        <v>921</v>
      </c>
    </row>
    <row r="30" spans="1:6" x14ac:dyDescent="0.25">
      <c r="A30" s="15" t="s">
        <v>3</v>
      </c>
      <c r="B30" s="15" t="s">
        <v>81</v>
      </c>
      <c r="C30" s="15" t="s">
        <v>9</v>
      </c>
      <c r="D30" s="15" t="s">
        <v>6</v>
      </c>
      <c r="E30" s="15" t="s">
        <v>23</v>
      </c>
      <c r="F30" s="15">
        <v>461</v>
      </c>
    </row>
    <row r="31" spans="1:6" x14ac:dyDescent="0.25">
      <c r="A31" s="15" t="s">
        <v>3</v>
      </c>
      <c r="B31" s="15" t="s">
        <v>81</v>
      </c>
      <c r="C31" s="15" t="s">
        <v>11</v>
      </c>
      <c r="D31" s="15" t="s">
        <v>6</v>
      </c>
      <c r="E31" s="15" t="s">
        <v>23</v>
      </c>
      <c r="F31" s="15">
        <v>415</v>
      </c>
    </row>
    <row r="32" spans="1:6" x14ac:dyDescent="0.25">
      <c r="A32" s="15" t="s">
        <v>3</v>
      </c>
      <c r="B32" s="15" t="s">
        <v>81</v>
      </c>
      <c r="C32" s="15" t="s">
        <v>15</v>
      </c>
      <c r="D32" s="15" t="s">
        <v>6</v>
      </c>
      <c r="E32" s="15" t="s">
        <v>23</v>
      </c>
      <c r="F32" s="15">
        <v>144</v>
      </c>
    </row>
    <row r="33" spans="1:6" x14ac:dyDescent="0.25">
      <c r="A33" s="15" t="s">
        <v>3</v>
      </c>
      <c r="B33" s="15" t="s">
        <v>81</v>
      </c>
      <c r="C33" s="15" t="s">
        <v>21</v>
      </c>
      <c r="D33" s="15" t="s">
        <v>8</v>
      </c>
      <c r="E33" s="15" t="s">
        <v>26</v>
      </c>
      <c r="F33" s="15">
        <v>40</v>
      </c>
    </row>
    <row r="34" spans="1:6" x14ac:dyDescent="0.25">
      <c r="A34" s="15" t="s">
        <v>3</v>
      </c>
      <c r="B34" s="15" t="s">
        <v>36</v>
      </c>
      <c r="C34" s="17" t="s">
        <v>21</v>
      </c>
      <c r="D34" s="15" t="s">
        <v>8</v>
      </c>
      <c r="E34" s="15" t="s">
        <v>26</v>
      </c>
      <c r="F34" s="15">
        <v>2400</v>
      </c>
    </row>
    <row r="35" spans="1:6" x14ac:dyDescent="0.25">
      <c r="A35" s="15" t="s">
        <v>3</v>
      </c>
      <c r="B35" s="15" t="s">
        <v>36</v>
      </c>
      <c r="C35" s="17" t="s">
        <v>20</v>
      </c>
      <c r="D35" s="15" t="s">
        <v>8</v>
      </c>
      <c r="E35" s="15" t="s">
        <v>26</v>
      </c>
      <c r="F35" s="15">
        <v>1440</v>
      </c>
    </row>
    <row r="36" spans="1:6" x14ac:dyDescent="0.25">
      <c r="A36" s="15" t="s">
        <v>3</v>
      </c>
      <c r="B36" s="15" t="s">
        <v>36</v>
      </c>
      <c r="C36" s="17" t="s">
        <v>14</v>
      </c>
      <c r="D36" s="15" t="s">
        <v>6</v>
      </c>
      <c r="E36" s="15" t="s">
        <v>23</v>
      </c>
      <c r="F36" s="15">
        <v>1440</v>
      </c>
    </row>
    <row r="37" spans="1:6" x14ac:dyDescent="0.25">
      <c r="A37" s="15" t="s">
        <v>3</v>
      </c>
      <c r="B37" s="15" t="s">
        <v>36</v>
      </c>
      <c r="C37" s="17" t="s">
        <v>19</v>
      </c>
      <c r="D37" s="15" t="s">
        <v>8</v>
      </c>
      <c r="E37" s="15" t="s">
        <v>26</v>
      </c>
      <c r="F37" s="15">
        <v>960</v>
      </c>
    </row>
    <row r="38" spans="1:6" x14ac:dyDescent="0.25">
      <c r="A38" s="15" t="s">
        <v>3</v>
      </c>
      <c r="B38" s="15" t="s">
        <v>36</v>
      </c>
      <c r="C38" s="17" t="s">
        <v>19</v>
      </c>
      <c r="D38" s="15" t="s">
        <v>8</v>
      </c>
      <c r="E38" s="15" t="s">
        <v>26</v>
      </c>
      <c r="F38" s="15">
        <v>960</v>
      </c>
    </row>
    <row r="39" spans="1:6" x14ac:dyDescent="0.25">
      <c r="A39" s="15" t="s">
        <v>3</v>
      </c>
      <c r="B39" s="15" t="s">
        <v>36</v>
      </c>
      <c r="C39" s="17" t="s">
        <v>10</v>
      </c>
      <c r="D39" s="15" t="s">
        <v>6</v>
      </c>
      <c r="E39" s="15" t="s">
        <v>23</v>
      </c>
      <c r="F39" s="15">
        <v>720</v>
      </c>
    </row>
    <row r="40" spans="1:6" x14ac:dyDescent="0.25">
      <c r="A40" s="15" t="s">
        <v>3</v>
      </c>
      <c r="B40" s="15" t="s">
        <v>78</v>
      </c>
      <c r="C40" s="17" t="s">
        <v>21</v>
      </c>
      <c r="D40" s="15" t="s">
        <v>8</v>
      </c>
      <c r="E40" s="15" t="s">
        <v>26</v>
      </c>
      <c r="F40" s="15">
        <v>9600</v>
      </c>
    </row>
    <row r="41" spans="1:6" x14ac:dyDescent="0.25">
      <c r="A41" s="15" t="s">
        <v>3</v>
      </c>
      <c r="B41" s="15" t="s">
        <v>78</v>
      </c>
      <c r="C41" s="17" t="s">
        <v>20</v>
      </c>
      <c r="D41" s="15" t="s">
        <v>8</v>
      </c>
      <c r="E41" s="15" t="s">
        <v>26</v>
      </c>
      <c r="F41" s="15">
        <v>5760</v>
      </c>
    </row>
    <row r="42" spans="1:6" x14ac:dyDescent="0.25">
      <c r="A42" s="15" t="s">
        <v>3</v>
      </c>
      <c r="B42" s="15" t="s">
        <v>78</v>
      </c>
      <c r="C42" s="17" t="s">
        <v>14</v>
      </c>
      <c r="D42" s="15" t="s">
        <v>6</v>
      </c>
      <c r="E42" s="15" t="s">
        <v>23</v>
      </c>
      <c r="F42" s="15">
        <v>5760</v>
      </c>
    </row>
    <row r="43" spans="1:6" x14ac:dyDescent="0.25">
      <c r="A43" s="15" t="s">
        <v>3</v>
      </c>
      <c r="B43" s="15" t="s">
        <v>78</v>
      </c>
      <c r="C43" s="17" t="s">
        <v>19</v>
      </c>
      <c r="D43" s="15" t="s">
        <v>8</v>
      </c>
      <c r="E43" s="15" t="s">
        <v>26</v>
      </c>
      <c r="F43" s="15">
        <v>4800</v>
      </c>
    </row>
    <row r="44" spans="1:6" x14ac:dyDescent="0.25">
      <c r="A44" s="15" t="s">
        <v>3</v>
      </c>
      <c r="B44" s="15" t="s">
        <v>78</v>
      </c>
      <c r="C44" s="17" t="s">
        <v>19</v>
      </c>
      <c r="D44" s="15" t="s">
        <v>8</v>
      </c>
      <c r="E44" s="15" t="s">
        <v>26</v>
      </c>
      <c r="F44" s="15">
        <v>3840</v>
      </c>
    </row>
    <row r="45" spans="1:6" x14ac:dyDescent="0.25">
      <c r="A45" s="15" t="s">
        <v>3</v>
      </c>
      <c r="B45" s="15" t="s">
        <v>78</v>
      </c>
      <c r="C45" s="17" t="s">
        <v>19</v>
      </c>
      <c r="D45" s="15" t="s">
        <v>8</v>
      </c>
      <c r="E45" s="15" t="s">
        <v>26</v>
      </c>
      <c r="F45" s="15">
        <v>3840</v>
      </c>
    </row>
    <row r="46" spans="1:6" x14ac:dyDescent="0.25">
      <c r="A46" s="15" t="s">
        <v>3</v>
      </c>
      <c r="B46" s="15" t="s">
        <v>78</v>
      </c>
      <c r="C46" s="17" t="s">
        <v>10</v>
      </c>
      <c r="D46" s="15" t="s">
        <v>6</v>
      </c>
      <c r="E46" s="15" t="s">
        <v>23</v>
      </c>
      <c r="F46" s="15">
        <v>2880</v>
      </c>
    </row>
    <row r="47" spans="1:6" x14ac:dyDescent="0.25">
      <c r="A47" s="15" t="s">
        <v>3</v>
      </c>
      <c r="B47" s="15" t="s">
        <v>82</v>
      </c>
      <c r="C47" s="17" t="s">
        <v>22</v>
      </c>
      <c r="D47" s="15" t="s">
        <v>8</v>
      </c>
      <c r="E47" s="15" t="s">
        <v>26</v>
      </c>
      <c r="F47" s="15">
        <v>4801</v>
      </c>
    </row>
    <row r="48" spans="1:6" x14ac:dyDescent="0.25">
      <c r="A48" s="15" t="s">
        <v>3</v>
      </c>
      <c r="B48" s="15" t="s">
        <v>82</v>
      </c>
      <c r="C48" s="15" t="s">
        <v>16</v>
      </c>
      <c r="D48" s="15" t="s">
        <v>5</v>
      </c>
      <c r="E48" s="15" t="s">
        <v>24</v>
      </c>
      <c r="F48" s="15">
        <v>4321</v>
      </c>
    </row>
    <row r="49" spans="1:6" x14ac:dyDescent="0.25">
      <c r="A49" s="15" t="s">
        <v>3</v>
      </c>
      <c r="B49" s="15" t="s">
        <v>82</v>
      </c>
      <c r="C49" s="17" t="s">
        <v>20</v>
      </c>
      <c r="D49" s="15" t="s">
        <v>8</v>
      </c>
      <c r="E49" s="15" t="s">
        <v>26</v>
      </c>
      <c r="F49" s="15">
        <v>2882</v>
      </c>
    </row>
    <row r="50" spans="1:6" x14ac:dyDescent="0.25">
      <c r="A50" s="15" t="s">
        <v>3</v>
      </c>
      <c r="B50" s="15" t="s">
        <v>82</v>
      </c>
      <c r="C50" s="15" t="s">
        <v>18</v>
      </c>
      <c r="D50" s="15" t="s">
        <v>7</v>
      </c>
      <c r="E50" s="15" t="s">
        <v>25</v>
      </c>
      <c r="F50" s="15">
        <v>2520</v>
      </c>
    </row>
    <row r="51" spans="1:6" x14ac:dyDescent="0.25">
      <c r="A51" s="15" t="s">
        <v>3</v>
      </c>
      <c r="B51" s="15" t="s">
        <v>82</v>
      </c>
      <c r="C51" s="15" t="s">
        <v>18</v>
      </c>
      <c r="D51" s="15" t="s">
        <v>7</v>
      </c>
      <c r="E51" s="15" t="s">
        <v>25</v>
      </c>
      <c r="F51" s="15">
        <v>1803</v>
      </c>
    </row>
    <row r="52" spans="1:6" x14ac:dyDescent="0.25">
      <c r="A52" s="15" t="s">
        <v>3</v>
      </c>
      <c r="B52" s="15" t="s">
        <v>82</v>
      </c>
      <c r="C52" s="17" t="s">
        <v>13</v>
      </c>
      <c r="D52" s="15" t="s">
        <v>6</v>
      </c>
      <c r="E52" s="15" t="s">
        <v>23</v>
      </c>
      <c r="F52" s="15">
        <v>1441</v>
      </c>
    </row>
    <row r="53" spans="1:6" x14ac:dyDescent="0.25">
      <c r="A53" s="15" t="s">
        <v>3</v>
      </c>
      <c r="B53" s="15" t="s">
        <v>82</v>
      </c>
      <c r="C53" s="17" t="s">
        <v>12</v>
      </c>
      <c r="D53" s="15" t="s">
        <v>6</v>
      </c>
      <c r="E53" s="15" t="s">
        <v>23</v>
      </c>
      <c r="F53" s="15">
        <v>1153</v>
      </c>
    </row>
    <row r="54" spans="1:6" x14ac:dyDescent="0.25">
      <c r="A54" s="15" t="s">
        <v>3</v>
      </c>
      <c r="B54" s="15" t="s">
        <v>82</v>
      </c>
      <c r="C54" s="17" t="s">
        <v>21</v>
      </c>
      <c r="D54" s="15" t="s">
        <v>8</v>
      </c>
      <c r="E54" s="15" t="s">
        <v>26</v>
      </c>
      <c r="F54" s="15">
        <v>961</v>
      </c>
    </row>
    <row r="55" spans="1:6" x14ac:dyDescent="0.25">
      <c r="A55" s="15" t="s">
        <v>3</v>
      </c>
      <c r="B55" s="15" t="s">
        <v>82</v>
      </c>
      <c r="C55" s="17" t="s">
        <v>11</v>
      </c>
      <c r="D55" s="15" t="s">
        <v>6</v>
      </c>
      <c r="E55" s="15" t="s">
        <v>23</v>
      </c>
      <c r="F55" s="15">
        <v>866</v>
      </c>
    </row>
    <row r="56" spans="1:6" x14ac:dyDescent="0.25">
      <c r="A56" s="15" t="s">
        <v>3</v>
      </c>
      <c r="B56" s="15" t="s">
        <v>82</v>
      </c>
      <c r="C56" s="17" t="s">
        <v>10</v>
      </c>
      <c r="D56" s="15" t="s">
        <v>6</v>
      </c>
      <c r="E56" s="15" t="s">
        <v>23</v>
      </c>
      <c r="F56" s="15">
        <v>721</v>
      </c>
    </row>
    <row r="57" spans="1:6" x14ac:dyDescent="0.25">
      <c r="A57" s="15" t="s">
        <v>3</v>
      </c>
      <c r="B57" s="15" t="s">
        <v>82</v>
      </c>
      <c r="C57" s="17" t="s">
        <v>9</v>
      </c>
      <c r="D57" s="15" t="s">
        <v>6</v>
      </c>
      <c r="E57" s="15" t="s">
        <v>23</v>
      </c>
      <c r="F57" s="15">
        <v>577</v>
      </c>
    </row>
    <row r="58" spans="1:6" x14ac:dyDescent="0.25">
      <c r="A58" s="15" t="s">
        <v>3</v>
      </c>
      <c r="B58" s="15" t="s">
        <v>78</v>
      </c>
      <c r="C58" s="17" t="s">
        <v>21</v>
      </c>
      <c r="D58" s="15" t="s">
        <v>8</v>
      </c>
      <c r="E58" s="15" t="s">
        <v>26</v>
      </c>
      <c r="F58" s="15">
        <v>2400</v>
      </c>
    </row>
    <row r="59" spans="1:6" x14ac:dyDescent="0.25">
      <c r="A59" s="15" t="s">
        <v>3</v>
      </c>
      <c r="B59" s="15" t="s">
        <v>78</v>
      </c>
      <c r="C59" s="17" t="s">
        <v>20</v>
      </c>
      <c r="D59" s="15" t="s">
        <v>8</v>
      </c>
      <c r="E59" s="15" t="s">
        <v>26</v>
      </c>
      <c r="F59" s="15">
        <v>1440</v>
      </c>
    </row>
    <row r="60" spans="1:6" x14ac:dyDescent="0.25">
      <c r="A60" s="15" t="s">
        <v>3</v>
      </c>
      <c r="B60" s="15" t="s">
        <v>78</v>
      </c>
      <c r="C60" s="17" t="s">
        <v>14</v>
      </c>
      <c r="D60" s="15" t="s">
        <v>6</v>
      </c>
      <c r="E60" s="15" t="s">
        <v>23</v>
      </c>
      <c r="F60" s="15">
        <v>1440</v>
      </c>
    </row>
    <row r="61" spans="1:6" x14ac:dyDescent="0.25">
      <c r="A61" s="15" t="s">
        <v>3</v>
      </c>
      <c r="B61" s="15" t="s">
        <v>78</v>
      </c>
      <c r="C61" s="17" t="s">
        <v>19</v>
      </c>
      <c r="D61" s="15" t="s">
        <v>8</v>
      </c>
      <c r="E61" s="15" t="s">
        <v>26</v>
      </c>
      <c r="F61" s="15">
        <v>960</v>
      </c>
    </row>
    <row r="62" spans="1:6" x14ac:dyDescent="0.25">
      <c r="A62" s="15" t="s">
        <v>3</v>
      </c>
      <c r="B62" s="15" t="s">
        <v>78</v>
      </c>
      <c r="C62" s="17" t="s">
        <v>19</v>
      </c>
      <c r="D62" s="15" t="s">
        <v>8</v>
      </c>
      <c r="E62" s="15" t="s">
        <v>26</v>
      </c>
      <c r="F62" s="15">
        <v>960</v>
      </c>
    </row>
    <row r="63" spans="1:6" x14ac:dyDescent="0.25">
      <c r="A63" s="15" t="s">
        <v>3</v>
      </c>
      <c r="B63" s="15" t="s">
        <v>78</v>
      </c>
      <c r="C63" s="17" t="s">
        <v>10</v>
      </c>
      <c r="D63" s="15" t="s">
        <v>6</v>
      </c>
      <c r="E63" s="15" t="s">
        <v>23</v>
      </c>
      <c r="F63" s="15">
        <v>720</v>
      </c>
    </row>
  </sheetData>
  <autoFilter ref="A1:F57" xr:uid="{24728D05-F30F-4C75-A503-BD608122E3A1}">
    <sortState xmlns:xlrd2="http://schemas.microsoft.com/office/spreadsheetml/2017/richdata2" ref="A2:F57">
      <sortCondition ref="B1:B57"/>
    </sortState>
  </autoFilter>
  <sortState xmlns:xlrd2="http://schemas.microsoft.com/office/spreadsheetml/2017/richdata2" ref="A2:F57">
    <sortCondition descending="1" ref="F1:F57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AAD7D-D93E-46E7-8341-2D84439894A1}">
  <sheetPr codeName="Sheet3"/>
  <dimension ref="A1:C27"/>
  <sheetViews>
    <sheetView workbookViewId="0">
      <selection activeCell="F17" sqref="F17"/>
    </sheetView>
  </sheetViews>
  <sheetFormatPr defaultRowHeight="15" x14ac:dyDescent="0.25"/>
  <cols>
    <col min="1" max="1" width="23.5703125" customWidth="1"/>
    <col min="2" max="2" width="108.28515625" customWidth="1"/>
    <col min="3" max="3" width="17.5703125" customWidth="1"/>
  </cols>
  <sheetData>
    <row r="1" spans="1:2" x14ac:dyDescent="0.25">
      <c r="A1" s="3" t="s">
        <v>84</v>
      </c>
      <c r="B1" s="4" t="s">
        <v>30</v>
      </c>
    </row>
    <row r="2" spans="1:2" x14ac:dyDescent="0.25">
      <c r="A2" s="1" t="s">
        <v>27</v>
      </c>
      <c r="B2" s="1" t="s">
        <v>31</v>
      </c>
    </row>
    <row r="3" spans="1:2" x14ac:dyDescent="0.25">
      <c r="A3" s="1" t="s">
        <v>28</v>
      </c>
      <c r="B3" s="1" t="s">
        <v>32</v>
      </c>
    </row>
    <row r="4" spans="1:2" x14ac:dyDescent="0.25">
      <c r="A4" s="1" t="s">
        <v>29</v>
      </c>
      <c r="B4" s="1" t="s">
        <v>33</v>
      </c>
    </row>
    <row r="5" spans="1:2" x14ac:dyDescent="0.25">
      <c r="A5" s="1" t="s">
        <v>34</v>
      </c>
      <c r="B5" s="1" t="s">
        <v>35</v>
      </c>
    </row>
    <row r="6" spans="1:2" x14ac:dyDescent="0.25">
      <c r="A6" s="1" t="s">
        <v>58</v>
      </c>
      <c r="B6" s="1" t="s">
        <v>37</v>
      </c>
    </row>
    <row r="7" spans="1:2" x14ac:dyDescent="0.25">
      <c r="A7" s="1" t="s">
        <v>38</v>
      </c>
      <c r="B7" s="2" t="s">
        <v>39</v>
      </c>
    </row>
    <row r="8" spans="1:2" x14ac:dyDescent="0.25">
      <c r="A8" s="1" t="s">
        <v>72</v>
      </c>
      <c r="B8" s="1" t="s">
        <v>76</v>
      </c>
    </row>
    <row r="9" spans="1:2" x14ac:dyDescent="0.25">
      <c r="A9" s="1" t="s">
        <v>73</v>
      </c>
      <c r="B9" s="1" t="s">
        <v>74</v>
      </c>
    </row>
    <row r="10" spans="1:2" x14ac:dyDescent="0.25">
      <c r="A10" s="1" t="s">
        <v>75</v>
      </c>
      <c r="B10" s="1" t="s">
        <v>77</v>
      </c>
    </row>
    <row r="12" spans="1:2" x14ac:dyDescent="0.25">
      <c r="A12" s="3" t="s">
        <v>85</v>
      </c>
      <c r="B12" s="4" t="s">
        <v>30</v>
      </c>
    </row>
    <row r="13" spans="1:2" x14ac:dyDescent="0.25">
      <c r="A13" s="1" t="s">
        <v>78</v>
      </c>
      <c r="B13" s="1" t="s">
        <v>86</v>
      </c>
    </row>
    <row r="14" spans="1:2" x14ac:dyDescent="0.25">
      <c r="A14" s="1" t="s">
        <v>36</v>
      </c>
      <c r="B14" s="1" t="s">
        <v>87</v>
      </c>
    </row>
    <row r="15" spans="1:2" x14ac:dyDescent="0.25">
      <c r="A15" s="1" t="s">
        <v>79</v>
      </c>
      <c r="B15" s="1" t="s">
        <v>88</v>
      </c>
    </row>
    <row r="16" spans="1:2" x14ac:dyDescent="0.25">
      <c r="A16" s="1" t="s">
        <v>80</v>
      </c>
      <c r="B16" s="1" t="s">
        <v>89</v>
      </c>
    </row>
    <row r="17" spans="1:3" x14ac:dyDescent="0.25">
      <c r="A17" s="1" t="s">
        <v>81</v>
      </c>
      <c r="B17" s="1" t="s">
        <v>90</v>
      </c>
    </row>
    <row r="18" spans="1:3" x14ac:dyDescent="0.25">
      <c r="A18" s="1" t="s">
        <v>82</v>
      </c>
      <c r="B18" s="1" t="s">
        <v>92</v>
      </c>
    </row>
    <row r="19" spans="1:3" x14ac:dyDescent="0.25">
      <c r="A19" s="1" t="s">
        <v>83</v>
      </c>
      <c r="B19" s="1" t="s">
        <v>91</v>
      </c>
    </row>
    <row r="21" spans="1:3" x14ac:dyDescent="0.25">
      <c r="A21" s="3" t="s">
        <v>151</v>
      </c>
      <c r="B21" s="3" t="s">
        <v>154</v>
      </c>
      <c r="C21" s="3" t="s">
        <v>162</v>
      </c>
    </row>
    <row r="22" spans="1:3" x14ac:dyDescent="0.25">
      <c r="A22" s="7" t="s">
        <v>93</v>
      </c>
      <c r="B22" s="1" t="s">
        <v>155</v>
      </c>
      <c r="C22" s="1" t="s">
        <v>152</v>
      </c>
    </row>
    <row r="23" spans="1:3" x14ac:dyDescent="0.25">
      <c r="A23" s="7" t="s">
        <v>94</v>
      </c>
      <c r="B23" s="1" t="s">
        <v>157</v>
      </c>
      <c r="C23" s="1" t="s">
        <v>152</v>
      </c>
    </row>
    <row r="24" spans="1:3" x14ac:dyDescent="0.25">
      <c r="A24" s="7" t="s">
        <v>95</v>
      </c>
      <c r="B24" s="1" t="s">
        <v>158</v>
      </c>
      <c r="C24" s="1" t="s">
        <v>153</v>
      </c>
    </row>
    <row r="25" spans="1:3" x14ac:dyDescent="0.25">
      <c r="A25" s="7" t="s">
        <v>73</v>
      </c>
      <c r="B25" s="1" t="s">
        <v>159</v>
      </c>
      <c r="C25" s="1" t="s">
        <v>153</v>
      </c>
    </row>
    <row r="26" spans="1:3" x14ac:dyDescent="0.25">
      <c r="A26" s="7" t="s">
        <v>96</v>
      </c>
      <c r="B26" s="1" t="s">
        <v>160</v>
      </c>
      <c r="C26" s="1" t="s">
        <v>153</v>
      </c>
    </row>
    <row r="27" spans="1:3" x14ac:dyDescent="0.25">
      <c r="A27" s="7" t="s">
        <v>75</v>
      </c>
      <c r="B27" s="1" t="s">
        <v>161</v>
      </c>
      <c r="C27" s="1" t="s">
        <v>153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46419-1101-460D-8B0D-6708434DE936}">
  <sheetPr codeName="Sheet4"/>
  <dimension ref="A1:K34"/>
  <sheetViews>
    <sheetView tabSelected="1" workbookViewId="0">
      <selection activeCell="P21" sqref="P21"/>
    </sheetView>
  </sheetViews>
  <sheetFormatPr defaultRowHeight="15" x14ac:dyDescent="0.25"/>
  <cols>
    <col min="1" max="1" width="19.5703125" style="8" customWidth="1"/>
    <col min="2" max="2" width="21.140625" style="8" customWidth="1"/>
    <col min="3" max="3" width="13.28515625" style="8" customWidth="1"/>
    <col min="4" max="4" width="16.42578125" style="8" customWidth="1"/>
    <col min="5" max="8" width="13.28515625" style="8" customWidth="1"/>
    <col min="9" max="9" width="10.7109375" style="8" bestFit="1" customWidth="1"/>
    <col min="10" max="16384" width="9.140625" style="8"/>
  </cols>
  <sheetData>
    <row r="1" spans="1:11" x14ac:dyDescent="0.25">
      <c r="A1" s="25" t="s">
        <v>62</v>
      </c>
      <c r="C1" s="24" t="s">
        <v>63</v>
      </c>
      <c r="D1" s="24"/>
      <c r="E1" s="24"/>
      <c r="F1" s="24"/>
      <c r="G1" s="24"/>
      <c r="H1" s="24"/>
    </row>
    <row r="2" spans="1:11" x14ac:dyDescent="0.25">
      <c r="A2" s="25"/>
      <c r="C2" s="24"/>
      <c r="D2" s="24"/>
      <c r="E2" s="24"/>
      <c r="F2" s="24"/>
      <c r="G2" s="24"/>
      <c r="H2" s="24"/>
    </row>
    <row r="3" spans="1:11" x14ac:dyDescent="0.25">
      <c r="A3" s="25"/>
      <c r="C3" s="24"/>
      <c r="D3" s="24"/>
      <c r="E3" s="24"/>
      <c r="F3" s="24"/>
      <c r="G3" s="24"/>
      <c r="H3" s="24"/>
    </row>
    <row r="5" spans="1:11" ht="21" x14ac:dyDescent="0.25">
      <c r="A5" s="26" t="s">
        <v>97</v>
      </c>
      <c r="B5" s="26"/>
      <c r="C5" s="26"/>
      <c r="D5" s="26"/>
      <c r="E5" s="26"/>
      <c r="F5" s="26"/>
      <c r="G5" s="26"/>
      <c r="H5" s="26"/>
      <c r="I5" s="9"/>
      <c r="J5" s="9"/>
      <c r="K5" s="9"/>
    </row>
    <row r="7" spans="1:11" x14ac:dyDescent="0.25">
      <c r="A7" s="8" t="s">
        <v>98</v>
      </c>
    </row>
    <row r="8" spans="1:11" x14ac:dyDescent="0.25">
      <c r="A8" s="8" t="s">
        <v>99</v>
      </c>
    </row>
    <row r="9" spans="1:11" x14ac:dyDescent="0.25">
      <c r="A9" s="8" t="s">
        <v>100</v>
      </c>
      <c r="E9" s="13" t="s">
        <v>64</v>
      </c>
      <c r="F9" s="10">
        <f ca="1">TODAY()</f>
        <v>45787</v>
      </c>
    </row>
    <row r="11" spans="1:11" s="5" customFormat="1" ht="30" x14ac:dyDescent="0.25">
      <c r="A11" s="7" t="s">
        <v>1</v>
      </c>
      <c r="B11" s="7" t="s">
        <v>4</v>
      </c>
      <c r="C11" s="7" t="s">
        <v>93</v>
      </c>
      <c r="D11" s="7" t="s">
        <v>94</v>
      </c>
      <c r="E11" s="7" t="s">
        <v>95</v>
      </c>
      <c r="F11" s="7" t="s">
        <v>73</v>
      </c>
      <c r="G11" s="7" t="s">
        <v>96</v>
      </c>
      <c r="H11" s="7" t="s">
        <v>75</v>
      </c>
    </row>
    <row r="12" spans="1:11" x14ac:dyDescent="0.25">
      <c r="A12" s="11" t="s">
        <v>19</v>
      </c>
      <c r="B12" s="6" t="s">
        <v>26</v>
      </c>
      <c r="C12" s="23">
        <v>14400</v>
      </c>
      <c r="D12" s="23">
        <v>0</v>
      </c>
      <c r="E12" s="23">
        <v>16820</v>
      </c>
      <c r="F12" s="23">
        <v>8320</v>
      </c>
      <c r="G12" s="23">
        <v>6100</v>
      </c>
      <c r="H12" s="23">
        <v>2400</v>
      </c>
    </row>
    <row r="13" spans="1:11" x14ac:dyDescent="0.25">
      <c r="A13" s="11" t="s">
        <v>20</v>
      </c>
      <c r="B13" s="6" t="s">
        <v>26</v>
      </c>
      <c r="C13" s="23">
        <v>7200</v>
      </c>
      <c r="D13" s="23">
        <v>2882</v>
      </c>
      <c r="E13" s="23">
        <v>18727</v>
      </c>
      <c r="F13" s="23">
        <v>7303</v>
      </c>
      <c r="G13" s="23">
        <v>4120</v>
      </c>
      <c r="H13" s="23">
        <v>7304</v>
      </c>
    </row>
    <row r="14" spans="1:11" x14ac:dyDescent="0.25">
      <c r="A14" s="11" t="s">
        <v>21</v>
      </c>
      <c r="B14" s="6" t="s">
        <v>26</v>
      </c>
      <c r="C14" s="23">
        <v>12000</v>
      </c>
      <c r="D14" s="23">
        <v>961</v>
      </c>
      <c r="E14" s="23">
        <v>15842</v>
      </c>
      <c r="F14" s="23">
        <v>674</v>
      </c>
      <c r="G14" s="23">
        <v>5168</v>
      </c>
      <c r="H14" s="23">
        <v>10000</v>
      </c>
    </row>
    <row r="15" spans="1:11" x14ac:dyDescent="0.25">
      <c r="A15" s="11" t="s">
        <v>22</v>
      </c>
      <c r="B15" s="6" t="s">
        <v>26</v>
      </c>
      <c r="C15" s="23">
        <v>0</v>
      </c>
      <c r="D15" s="23">
        <v>4801</v>
      </c>
      <c r="E15" s="23">
        <v>19200</v>
      </c>
      <c r="F15" s="23">
        <v>7488</v>
      </c>
      <c r="G15" s="23">
        <v>11712</v>
      </c>
      <c r="H15" s="23">
        <v>0</v>
      </c>
    </row>
    <row r="16" spans="1:11" x14ac:dyDescent="0.25">
      <c r="A16" s="11" t="s">
        <v>9</v>
      </c>
      <c r="B16" s="6" t="s">
        <v>23</v>
      </c>
      <c r="C16" s="23">
        <v>0</v>
      </c>
      <c r="D16" s="23">
        <v>577</v>
      </c>
      <c r="E16" s="23">
        <v>2304</v>
      </c>
      <c r="F16" s="23">
        <v>875</v>
      </c>
      <c r="G16" s="23">
        <v>1360</v>
      </c>
      <c r="H16" s="23">
        <v>69</v>
      </c>
    </row>
    <row r="17" spans="1:8" x14ac:dyDescent="0.25">
      <c r="A17" s="11" t="s">
        <v>10</v>
      </c>
      <c r="B17" s="6" t="s">
        <v>23</v>
      </c>
      <c r="C17" s="23">
        <v>3600</v>
      </c>
      <c r="D17" s="23">
        <v>721</v>
      </c>
      <c r="E17" s="23">
        <v>6481</v>
      </c>
      <c r="F17" s="23">
        <v>2463</v>
      </c>
      <c r="G17" s="23">
        <v>4018</v>
      </c>
      <c r="H17" s="23">
        <v>0</v>
      </c>
    </row>
    <row r="18" spans="1:8" x14ac:dyDescent="0.25">
      <c r="A18" s="11" t="s">
        <v>11</v>
      </c>
      <c r="B18" s="6" t="s">
        <v>23</v>
      </c>
      <c r="C18" s="23">
        <v>0</v>
      </c>
      <c r="D18" s="23">
        <v>866</v>
      </c>
      <c r="E18" s="23">
        <v>3464</v>
      </c>
      <c r="F18" s="23">
        <v>1039</v>
      </c>
      <c r="G18" s="23">
        <v>2148</v>
      </c>
      <c r="H18" s="23">
        <v>277</v>
      </c>
    </row>
    <row r="19" spans="1:8" x14ac:dyDescent="0.25">
      <c r="A19" s="11" t="s">
        <v>12</v>
      </c>
      <c r="B19" s="6" t="s">
        <v>23</v>
      </c>
      <c r="C19" s="23">
        <v>0</v>
      </c>
      <c r="D19" s="23">
        <v>1153</v>
      </c>
      <c r="E19" s="23">
        <v>4609</v>
      </c>
      <c r="F19" s="23">
        <v>1751</v>
      </c>
      <c r="G19" s="23">
        <v>2858</v>
      </c>
      <c r="H19" s="23">
        <v>0</v>
      </c>
    </row>
    <row r="20" spans="1:8" x14ac:dyDescent="0.25">
      <c r="A20" s="11" t="s">
        <v>13</v>
      </c>
      <c r="B20" s="6" t="s">
        <v>23</v>
      </c>
      <c r="C20" s="23">
        <v>0</v>
      </c>
      <c r="D20" s="23">
        <v>1441</v>
      </c>
      <c r="E20" s="23">
        <v>5761</v>
      </c>
      <c r="F20" s="23">
        <v>2189</v>
      </c>
      <c r="G20" s="23">
        <v>3572</v>
      </c>
      <c r="H20" s="23">
        <v>0</v>
      </c>
    </row>
    <row r="21" spans="1:8" x14ac:dyDescent="0.25">
      <c r="A21" s="11" t="s">
        <v>14</v>
      </c>
      <c r="B21" s="6" t="s">
        <v>23</v>
      </c>
      <c r="C21" s="23">
        <v>7200</v>
      </c>
      <c r="D21" s="23">
        <v>0</v>
      </c>
      <c r="E21" s="23">
        <v>7203</v>
      </c>
      <c r="F21" s="23">
        <v>2737</v>
      </c>
      <c r="G21" s="23">
        <v>4250</v>
      </c>
      <c r="H21" s="23">
        <v>216</v>
      </c>
    </row>
    <row r="22" spans="1:8" x14ac:dyDescent="0.25">
      <c r="A22" s="11" t="s">
        <v>15</v>
      </c>
      <c r="B22" s="6" t="s">
        <v>23</v>
      </c>
      <c r="C22" s="23">
        <v>0</v>
      </c>
      <c r="D22" s="23">
        <v>0</v>
      </c>
      <c r="E22" s="23">
        <v>724</v>
      </c>
      <c r="F22" s="23">
        <v>274</v>
      </c>
      <c r="G22" s="23">
        <v>450</v>
      </c>
      <c r="H22" s="23">
        <v>0</v>
      </c>
    </row>
    <row r="23" spans="1:8" x14ac:dyDescent="0.25">
      <c r="A23" s="12" t="s">
        <v>18</v>
      </c>
      <c r="B23" s="6" t="s">
        <v>25</v>
      </c>
      <c r="C23" s="23">
        <v>0</v>
      </c>
      <c r="D23" s="23">
        <v>4323</v>
      </c>
      <c r="E23" s="23">
        <v>33503</v>
      </c>
      <c r="F23" s="23">
        <v>11833</v>
      </c>
      <c r="G23" s="23">
        <v>20468</v>
      </c>
      <c r="H23" s="23">
        <v>1202</v>
      </c>
    </row>
    <row r="24" spans="1:8" x14ac:dyDescent="0.25">
      <c r="A24" s="12" t="s">
        <v>18</v>
      </c>
      <c r="B24" s="6" t="s">
        <v>25</v>
      </c>
      <c r="C24" s="23">
        <v>0</v>
      </c>
      <c r="D24" s="23">
        <v>4323</v>
      </c>
      <c r="E24" s="23">
        <v>33503</v>
      </c>
      <c r="F24" s="23">
        <v>11833</v>
      </c>
      <c r="G24" s="23">
        <v>20468</v>
      </c>
      <c r="H24" s="23">
        <v>1202</v>
      </c>
    </row>
    <row r="25" spans="1:8" x14ac:dyDescent="0.25">
      <c r="A25" s="12" t="s">
        <v>18</v>
      </c>
      <c r="B25" s="6" t="s">
        <v>25</v>
      </c>
      <c r="C25" s="23">
        <v>0</v>
      </c>
      <c r="D25" s="23">
        <v>4323</v>
      </c>
      <c r="E25" s="23">
        <v>33503</v>
      </c>
      <c r="F25" s="23">
        <v>11833</v>
      </c>
      <c r="G25" s="23">
        <v>20468</v>
      </c>
      <c r="H25" s="23">
        <v>1202</v>
      </c>
    </row>
    <row r="26" spans="1:8" x14ac:dyDescent="0.25">
      <c r="A26" s="12" t="s">
        <v>18</v>
      </c>
      <c r="B26" s="6" t="s">
        <v>25</v>
      </c>
      <c r="C26" s="23">
        <v>0</v>
      </c>
      <c r="D26" s="23">
        <v>4323</v>
      </c>
      <c r="E26" s="23">
        <v>33503</v>
      </c>
      <c r="F26" s="23">
        <v>11833</v>
      </c>
      <c r="G26" s="23">
        <v>20468</v>
      </c>
      <c r="H26" s="23">
        <v>1202</v>
      </c>
    </row>
    <row r="27" spans="1:8" x14ac:dyDescent="0.25">
      <c r="A27" s="12" t="s">
        <v>18</v>
      </c>
      <c r="B27" s="6" t="s">
        <v>25</v>
      </c>
      <c r="C27" s="23">
        <v>0</v>
      </c>
      <c r="D27" s="23">
        <v>4323</v>
      </c>
      <c r="E27" s="23">
        <v>33503</v>
      </c>
      <c r="F27" s="23">
        <v>11833</v>
      </c>
      <c r="G27" s="23">
        <v>20468</v>
      </c>
      <c r="H27" s="23">
        <v>1202</v>
      </c>
    </row>
    <row r="28" spans="1:8" x14ac:dyDescent="0.25">
      <c r="A28" s="12" t="s">
        <v>16</v>
      </c>
      <c r="B28" s="6" t="s">
        <v>24</v>
      </c>
      <c r="C28" s="23">
        <v>0</v>
      </c>
      <c r="D28" s="23">
        <v>4321</v>
      </c>
      <c r="E28" s="23">
        <v>17280</v>
      </c>
      <c r="F28" s="23">
        <v>6566</v>
      </c>
      <c r="G28" s="23">
        <v>10714</v>
      </c>
      <c r="H28" s="23">
        <v>0</v>
      </c>
    </row>
    <row r="29" spans="1:8" x14ac:dyDescent="0.25">
      <c r="A29" s="12" t="s">
        <v>17</v>
      </c>
      <c r="B29" s="6" t="s">
        <v>24</v>
      </c>
      <c r="C29" s="23">
        <v>0</v>
      </c>
      <c r="D29" s="23">
        <v>0</v>
      </c>
      <c r="E29" s="23">
        <v>24003</v>
      </c>
      <c r="F29" s="23">
        <v>8401</v>
      </c>
      <c r="G29" s="23">
        <v>14882</v>
      </c>
      <c r="H29" s="23">
        <v>720</v>
      </c>
    </row>
    <row r="32" spans="1:8" x14ac:dyDescent="0.25">
      <c r="G32" s="13"/>
    </row>
    <row r="34" spans="7:7" x14ac:dyDescent="0.25">
      <c r="G34" s="14"/>
    </row>
  </sheetData>
  <mergeCells count="3">
    <mergeCell ref="C1:H3"/>
    <mergeCell ref="A1:A3"/>
    <mergeCell ref="A5:H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WMS stock</vt:lpstr>
      <vt:lpstr>WMS trans</vt:lpstr>
      <vt:lpstr>Note</vt:lpstr>
      <vt:lpstr>Report_template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c9bc5519, fc66c83e</dc:creator>
  <cp:lastModifiedBy>c9bc5519, fc66c83e</cp:lastModifiedBy>
  <dcterms:created xsi:type="dcterms:W3CDTF">2025-05-10T08:12:23Z</dcterms:created>
  <dcterms:modified xsi:type="dcterms:W3CDTF">2025-05-10T14:12:26Z</dcterms:modified>
</cp:coreProperties>
</file>